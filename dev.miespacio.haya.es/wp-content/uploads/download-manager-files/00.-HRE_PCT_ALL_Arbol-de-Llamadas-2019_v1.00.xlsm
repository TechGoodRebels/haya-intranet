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ONE\SCN\Federico Segura - 045 - HAYA\HRE_2019\02. PCT\03. Equipos PCT\"/>
    </mc:Choice>
  </mc:AlternateContent>
  <xr:revisionPtr revIDLastSave="0" documentId="13_ncr:1_{8D0123F9-5D6E-4DCB-BF01-24F32B00C6D0}" xr6:coauthVersionLast="43" xr6:coauthVersionMax="43" xr10:uidLastSave="{00000000-0000-0000-0000-000000000000}"/>
  <bookViews>
    <workbookView xWindow="-110" yWindow="-110" windowWidth="19420" windowHeight="10420" tabRatio="713" activeTab="1" xr2:uid="{00000000-000D-0000-FFFF-FFFF00000000}"/>
  </bookViews>
  <sheets>
    <sheet name="Portada" sheetId="20" r:id="rId1"/>
    <sheet name="Call Tree HRE 2018" sheetId="1" r:id="rId2"/>
    <sheet name="Resumen acumulado" sheetId="7" r:id="rId3"/>
    <sheet name="Resumen sin acumular" sheetId="6" r:id="rId4"/>
    <sheet name="Personal Interno" sheetId="16" r:id="rId5"/>
    <sheet name="Resumen Personal-Equipamiento" sheetId="17" r:id="rId6"/>
    <sheet name="Histórico Pruebas" sheetId="14" r:id="rId7"/>
    <sheet name="Códigos" sheetId="15" r:id="rId8"/>
  </sheets>
  <externalReferences>
    <externalReference r:id="rId9"/>
  </externalReferences>
  <definedNames>
    <definedName name="_xlnm._FilterDatabase" localSheetId="1" hidden="1">'Call Tree HRE 2018'!$A$2:$AD$30</definedName>
    <definedName name="_xlnm._FilterDatabase" localSheetId="6" hidden="1">'Histórico Pruebas'!$A$1:$F$11</definedName>
    <definedName name="_xlnm._FilterDatabase" localSheetId="4" hidden="1">'Personal Interno'!$A$2:$Z$870</definedName>
    <definedName name="_xlnm.Print_Area" localSheetId="1">'Call Tree HRE 2018'!$C$1:$Z$6</definedName>
    <definedName name="_xlnm.Print_Area" localSheetId="0">Portada!$B$2:$L$23</definedName>
    <definedName name="CRITICIDAD">'Call Tree HRE 2018'!$G$3:$G$331</definedName>
    <definedName name="EDIFICIOS">Códigos!$C$2:$E$20</definedName>
    <definedName name="EMPLEADOS">'Personal Interno'!$A$3:$Z$899</definedName>
    <definedName name="EMPLEADOS2">'Personal Interno'!$O$2:$O$1000</definedName>
    <definedName name="EQUIPOS">'Call Tree HRE 2018'!$C$3:$C$331</definedName>
    <definedName name="LISTADO_CRITICIDADES">Códigos!$G$2:$G$16</definedName>
    <definedName name="LISTADO_EQUIPOS">Códigos!$A$2:$A$4</definedName>
    <definedName name="LISTADO_PROVINCIAS">Códigos!$J$2:$J$16</definedName>
    <definedName name="LOCALIZADOS">'Call Tree HRE 2018'!$T$3:$T$331</definedName>
    <definedName name="ORDEN">Códigos!$G$2:$H$16</definedName>
    <definedName name="PROVINCIAS">'Call Tree HRE 2018'!$S$3:$S$331</definedName>
    <definedName name="PRUEBAS_NOMBRE">'Histórico Pruebas'!$D:$D</definedName>
    <definedName name="PRUEBAS_PARTICIPANTES">'Histórico Pruebas'!$A:$A</definedName>
    <definedName name="SC">[1]COMBOS!$M$2:$M$23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A4" i="1" s="1"/>
  <c r="A3" i="1"/>
  <c r="H9" i="1"/>
  <c r="AC9" i="1" s="1"/>
  <c r="J9" i="1"/>
  <c r="L9" i="1"/>
  <c r="N9" i="1"/>
  <c r="M9" i="1" s="1"/>
  <c r="P9" i="1"/>
  <c r="Q9" i="1"/>
  <c r="R9" i="1"/>
  <c r="S9" i="1"/>
  <c r="AA9" i="1"/>
  <c r="AB9" i="1"/>
  <c r="B4" i="1" l="1"/>
  <c r="AD9" i="1"/>
  <c r="B5" i="1" l="1"/>
  <c r="A5" i="1"/>
  <c r="B8" i="7"/>
  <c r="A6" i="1" l="1"/>
  <c r="B6" i="1"/>
  <c r="F3" i="14"/>
  <c r="F4" i="14"/>
  <c r="F5" i="14"/>
  <c r="F6" i="14"/>
  <c r="F7" i="14"/>
  <c r="F8" i="14"/>
  <c r="F9" i="14"/>
  <c r="F10" i="14"/>
  <c r="F11" i="14"/>
  <c r="C11" i="14"/>
  <c r="C10" i="14"/>
  <c r="C9" i="14"/>
  <c r="C8" i="14"/>
  <c r="F2" i="14"/>
  <c r="C7" i="14"/>
  <c r="C6" i="14"/>
  <c r="C5" i="14"/>
  <c r="C4" i="14"/>
  <c r="C3" i="14"/>
  <c r="C2" i="14"/>
  <c r="B7" i="1" l="1"/>
  <c r="A7" i="1"/>
  <c r="Z8" i="6"/>
  <c r="A8" i="1" l="1"/>
  <c r="B8" i="1"/>
  <c r="O5" i="6"/>
  <c r="O6" i="6"/>
  <c r="I5" i="6"/>
  <c r="I6" i="6"/>
  <c r="C5" i="6"/>
  <c r="C6" i="6"/>
  <c r="R30" i="1"/>
  <c r="Q30" i="1"/>
  <c r="P30" i="1"/>
  <c r="N30" i="1"/>
  <c r="S30" i="1" s="1"/>
  <c r="L30" i="1"/>
  <c r="J30" i="1"/>
  <c r="H30" i="1"/>
  <c r="R29" i="1"/>
  <c r="Q29" i="1"/>
  <c r="P29" i="1"/>
  <c r="N29" i="1"/>
  <c r="S29" i="1" s="1"/>
  <c r="L29" i="1"/>
  <c r="J29" i="1"/>
  <c r="H29" i="1"/>
  <c r="R28" i="1"/>
  <c r="Q28" i="1"/>
  <c r="P28" i="1"/>
  <c r="N28" i="1"/>
  <c r="S28" i="1" s="1"/>
  <c r="L28" i="1"/>
  <c r="J28" i="1"/>
  <c r="H28" i="1"/>
  <c r="R27" i="1"/>
  <c r="Q27" i="1"/>
  <c r="P27" i="1"/>
  <c r="N27" i="1"/>
  <c r="S27" i="1" s="1"/>
  <c r="L27" i="1"/>
  <c r="J27" i="1"/>
  <c r="H27" i="1"/>
  <c r="R26" i="1"/>
  <c r="Q26" i="1"/>
  <c r="P26" i="1"/>
  <c r="N26" i="1"/>
  <c r="S26" i="1" s="1"/>
  <c r="L26" i="1"/>
  <c r="J26" i="1"/>
  <c r="H26" i="1"/>
  <c r="R25" i="1"/>
  <c r="Q25" i="1"/>
  <c r="P25" i="1"/>
  <c r="N25" i="1"/>
  <c r="S25" i="1" s="1"/>
  <c r="L25" i="1"/>
  <c r="J25" i="1"/>
  <c r="H25" i="1"/>
  <c r="R24" i="1"/>
  <c r="Q24" i="1"/>
  <c r="P24" i="1"/>
  <c r="N24" i="1"/>
  <c r="S24" i="1" s="1"/>
  <c r="L24" i="1"/>
  <c r="J24" i="1"/>
  <c r="H24" i="1"/>
  <c r="R23" i="1"/>
  <c r="Q23" i="1"/>
  <c r="P23" i="1"/>
  <c r="N23" i="1"/>
  <c r="S23" i="1" s="1"/>
  <c r="L23" i="1"/>
  <c r="J23" i="1"/>
  <c r="H23" i="1"/>
  <c r="R22" i="1"/>
  <c r="Q22" i="1"/>
  <c r="P22" i="1"/>
  <c r="N22" i="1"/>
  <c r="S22" i="1" s="1"/>
  <c r="L22" i="1"/>
  <c r="J22" i="1"/>
  <c r="H22" i="1"/>
  <c r="R21" i="1"/>
  <c r="Q21" i="1"/>
  <c r="P21" i="1"/>
  <c r="N21" i="1"/>
  <c r="S21" i="1" s="1"/>
  <c r="L21" i="1"/>
  <c r="J21" i="1"/>
  <c r="H21" i="1"/>
  <c r="R20" i="1"/>
  <c r="Q20" i="1"/>
  <c r="P20" i="1"/>
  <c r="N20" i="1"/>
  <c r="S20" i="1" s="1"/>
  <c r="L20" i="1"/>
  <c r="J20" i="1"/>
  <c r="H20" i="1"/>
  <c r="R19" i="1"/>
  <c r="Q19" i="1"/>
  <c r="P19" i="1"/>
  <c r="N19" i="1"/>
  <c r="S19" i="1" s="1"/>
  <c r="L19" i="1"/>
  <c r="J19" i="1"/>
  <c r="H19" i="1"/>
  <c r="R18" i="1"/>
  <c r="Q18" i="1"/>
  <c r="P18" i="1"/>
  <c r="N18" i="1"/>
  <c r="S18" i="1" s="1"/>
  <c r="L18" i="1"/>
  <c r="J18" i="1"/>
  <c r="H18" i="1"/>
  <c r="A9" i="1" l="1"/>
  <c r="B9" i="1"/>
  <c r="AB19" i="1"/>
  <c r="AA19" i="1"/>
  <c r="AC19" i="1"/>
  <c r="AB23" i="1"/>
  <c r="AC23" i="1"/>
  <c r="AA23" i="1"/>
  <c r="AB27" i="1"/>
  <c r="AA27" i="1"/>
  <c r="AC27" i="1"/>
  <c r="AA18" i="1"/>
  <c r="AB18" i="1"/>
  <c r="AC18" i="1"/>
  <c r="AA22" i="1"/>
  <c r="AB22" i="1"/>
  <c r="AC22" i="1"/>
  <c r="AA26" i="1"/>
  <c r="AC26" i="1"/>
  <c r="AB26" i="1"/>
  <c r="AA30" i="1"/>
  <c r="AB30" i="1"/>
  <c r="AC30" i="1"/>
  <c r="AC21" i="1"/>
  <c r="AA21" i="1"/>
  <c r="AB21" i="1"/>
  <c r="AC25" i="1"/>
  <c r="AA25" i="1"/>
  <c r="AB25" i="1"/>
  <c r="AC29" i="1"/>
  <c r="AA29" i="1"/>
  <c r="AB29" i="1"/>
  <c r="AC20" i="1"/>
  <c r="AA20" i="1"/>
  <c r="AB20" i="1"/>
  <c r="AA24" i="1"/>
  <c r="AC24" i="1"/>
  <c r="AB24" i="1"/>
  <c r="AB28" i="1"/>
  <c r="AC28" i="1"/>
  <c r="AA28" i="1"/>
  <c r="AD30" i="1"/>
  <c r="U6" i="6"/>
  <c r="U5" i="6"/>
  <c r="AA5" i="6" s="1"/>
  <c r="M30" i="1"/>
  <c r="AD27" i="1"/>
  <c r="M20" i="1"/>
  <c r="AD26" i="1"/>
  <c r="M18" i="1"/>
  <c r="M19" i="1"/>
  <c r="M26" i="1"/>
  <c r="M27" i="1"/>
  <c r="M28" i="1"/>
  <c r="M29" i="1"/>
  <c r="AD23" i="1"/>
  <c r="AD22" i="1"/>
  <c r="AD18" i="1"/>
  <c r="M22" i="1"/>
  <c r="M23" i="1"/>
  <c r="M24" i="1"/>
  <c r="M25" i="1"/>
  <c r="AD19" i="1"/>
  <c r="M21" i="1"/>
  <c r="AD21" i="1" l="1"/>
  <c r="B10" i="1"/>
  <c r="A10" i="1"/>
  <c r="AD29" i="1"/>
  <c r="AD25" i="1"/>
  <c r="AD20" i="1"/>
  <c r="AD28" i="1"/>
  <c r="AD24" i="1"/>
  <c r="AA6" i="6"/>
  <c r="A11" i="1" l="1"/>
  <c r="B11" i="1"/>
  <c r="R16" i="1"/>
  <c r="Q16" i="1"/>
  <c r="P16" i="1"/>
  <c r="N16" i="1"/>
  <c r="S16" i="1" s="1"/>
  <c r="L16" i="1"/>
  <c r="J16" i="1"/>
  <c r="H16" i="1"/>
  <c r="R17" i="1"/>
  <c r="Q17" i="1"/>
  <c r="P17" i="1"/>
  <c r="N17" i="1"/>
  <c r="S17" i="1" s="1"/>
  <c r="L17" i="1"/>
  <c r="J17" i="1"/>
  <c r="H17" i="1"/>
  <c r="R15" i="1"/>
  <c r="Q15" i="1"/>
  <c r="P15" i="1"/>
  <c r="N15" i="1"/>
  <c r="S15" i="1" s="1"/>
  <c r="L15" i="1"/>
  <c r="J15" i="1"/>
  <c r="H15" i="1"/>
  <c r="R14" i="1"/>
  <c r="Q14" i="1"/>
  <c r="P14" i="1"/>
  <c r="N14" i="1"/>
  <c r="S14" i="1" s="1"/>
  <c r="L14" i="1"/>
  <c r="J14" i="1"/>
  <c r="H14" i="1"/>
  <c r="R13" i="1"/>
  <c r="Q13" i="1"/>
  <c r="P13" i="1"/>
  <c r="N13" i="1"/>
  <c r="S13" i="1" s="1"/>
  <c r="L13" i="1"/>
  <c r="J13" i="1"/>
  <c r="H13" i="1"/>
  <c r="R12" i="1"/>
  <c r="Q12" i="1"/>
  <c r="P12" i="1"/>
  <c r="N12" i="1"/>
  <c r="S12" i="1" s="1"/>
  <c r="L12" i="1"/>
  <c r="J12" i="1"/>
  <c r="H12" i="1"/>
  <c r="A12" i="1" l="1"/>
  <c r="B12" i="1"/>
  <c r="AA12" i="1"/>
  <c r="AC12" i="1"/>
  <c r="AB12" i="1"/>
  <c r="AC17" i="1"/>
  <c r="AA17" i="1"/>
  <c r="AB17" i="1"/>
  <c r="AB15" i="1"/>
  <c r="AA15" i="1"/>
  <c r="AC15" i="1"/>
  <c r="AA14" i="1"/>
  <c r="AC14" i="1"/>
  <c r="AB14" i="1"/>
  <c r="AC13" i="1"/>
  <c r="AA13" i="1"/>
  <c r="AB13" i="1"/>
  <c r="AB16" i="1"/>
  <c r="AC16" i="1"/>
  <c r="AA16" i="1"/>
  <c r="AD15" i="1"/>
  <c r="AD12" i="1"/>
  <c r="M12" i="1"/>
  <c r="M13" i="1"/>
  <c r="M14" i="1"/>
  <c r="M15" i="1"/>
  <c r="M17" i="1"/>
  <c r="M16" i="1"/>
  <c r="AD17" i="1"/>
  <c r="AD14" i="1" l="1"/>
  <c r="B13" i="1"/>
  <c r="A13" i="1"/>
  <c r="AD16" i="1"/>
  <c r="AD13" i="1"/>
  <c r="R8" i="1"/>
  <c r="Q8" i="1"/>
  <c r="P8" i="1"/>
  <c r="N8" i="1"/>
  <c r="S8" i="1" s="1"/>
  <c r="L8" i="1"/>
  <c r="J8" i="1"/>
  <c r="H8" i="1"/>
  <c r="R7" i="1"/>
  <c r="Q7" i="1"/>
  <c r="P7" i="1"/>
  <c r="N7" i="1"/>
  <c r="S7" i="1" s="1"/>
  <c r="L7" i="1"/>
  <c r="J7" i="1"/>
  <c r="H7" i="1"/>
  <c r="R6" i="1"/>
  <c r="Q6" i="1"/>
  <c r="P6" i="1"/>
  <c r="N6" i="1"/>
  <c r="S6" i="1" s="1"/>
  <c r="L6" i="1"/>
  <c r="J6" i="1"/>
  <c r="H6" i="1"/>
  <c r="R5" i="1"/>
  <c r="Q5" i="1"/>
  <c r="P5" i="1"/>
  <c r="N5" i="1"/>
  <c r="S5" i="1" s="1"/>
  <c r="L5" i="1"/>
  <c r="J5" i="1"/>
  <c r="H5" i="1"/>
  <c r="A14" i="1" l="1"/>
  <c r="B14" i="1"/>
  <c r="AA7" i="1"/>
  <c r="AB7" i="1"/>
  <c r="AC7" i="1"/>
  <c r="AC6" i="1"/>
  <c r="AA6" i="1"/>
  <c r="AB6" i="1"/>
  <c r="AC5" i="1"/>
  <c r="AA5" i="1"/>
  <c r="AB5" i="1"/>
  <c r="AB8" i="1"/>
  <c r="AC8" i="1"/>
  <c r="AA8" i="1"/>
  <c r="M7" i="1"/>
  <c r="M8" i="1"/>
  <c r="M5" i="1"/>
  <c r="M6" i="1"/>
  <c r="E16" i="20"/>
  <c r="B15" i="1" l="1"/>
  <c r="A15" i="1"/>
  <c r="AD6" i="1"/>
  <c r="AD7" i="1"/>
  <c r="AD5" i="1"/>
  <c r="AD8" i="1"/>
  <c r="A16" i="1" l="1"/>
  <c r="B16" i="1"/>
  <c r="G1" i="16"/>
  <c r="Z8" i="7" s="1"/>
  <c r="D4" i="6"/>
  <c r="K5" i="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" i="16"/>
  <c r="J3" i="1"/>
  <c r="L3" i="1"/>
  <c r="N3" i="1"/>
  <c r="M3" i="1" s="1"/>
  <c r="P3" i="1"/>
  <c r="Q3" i="1"/>
  <c r="R3" i="1"/>
  <c r="J4" i="1"/>
  <c r="L4" i="1"/>
  <c r="N4" i="1"/>
  <c r="M4" i="1" s="1"/>
  <c r="P4" i="1"/>
  <c r="Q4" i="1"/>
  <c r="R4" i="1"/>
  <c r="J10" i="1"/>
  <c r="L10" i="1"/>
  <c r="N10" i="1"/>
  <c r="M10" i="1" s="1"/>
  <c r="P10" i="1"/>
  <c r="C2" i="17" s="1"/>
  <c r="Q10" i="1"/>
  <c r="D2" i="17" s="1"/>
  <c r="R10" i="1"/>
  <c r="E2" i="17" s="1"/>
  <c r="J11" i="1"/>
  <c r="L11" i="1"/>
  <c r="N11" i="1"/>
  <c r="M11" i="1" s="1"/>
  <c r="P11" i="1"/>
  <c r="Q11" i="1"/>
  <c r="R11" i="1"/>
  <c r="E4" i="6"/>
  <c r="G4" i="6"/>
  <c r="H3" i="1"/>
  <c r="H4" i="1"/>
  <c r="H10" i="1"/>
  <c r="H11" i="1"/>
  <c r="F4" i="6"/>
  <c r="S6" i="6"/>
  <c r="R6" i="6"/>
  <c r="N6" i="6"/>
  <c r="O6" i="7" s="1"/>
  <c r="P5" i="6"/>
  <c r="S4" i="6"/>
  <c r="R4" i="6"/>
  <c r="Q4" i="6"/>
  <c r="P4" i="6"/>
  <c r="M6" i="6"/>
  <c r="L6" i="6"/>
  <c r="H6" i="6"/>
  <c r="I6" i="7" s="1"/>
  <c r="J5" i="6"/>
  <c r="M4" i="6"/>
  <c r="L4" i="6"/>
  <c r="K4" i="6"/>
  <c r="J4" i="6"/>
  <c r="G6" i="6"/>
  <c r="F6" i="6"/>
  <c r="B6" i="6"/>
  <c r="C6" i="7" s="1"/>
  <c r="D5" i="6"/>
  <c r="B17" i="1" l="1"/>
  <c r="A17" i="1"/>
  <c r="AA3" i="1"/>
  <c r="AB3" i="1"/>
  <c r="AC3" i="1"/>
  <c r="AB11" i="1"/>
  <c r="AA11" i="1"/>
  <c r="AC11" i="1"/>
  <c r="AA10" i="1"/>
  <c r="AB10" i="1"/>
  <c r="AC10" i="1"/>
  <c r="AC4" i="1"/>
  <c r="AA4" i="1"/>
  <c r="AB4" i="1"/>
  <c r="H6" i="7"/>
  <c r="N6" i="7"/>
  <c r="C3" i="17"/>
  <c r="E4" i="17"/>
  <c r="E3" i="17"/>
  <c r="C4" i="17"/>
  <c r="Q5" i="6"/>
  <c r="E5" i="6"/>
  <c r="D4" i="17"/>
  <c r="N8" i="7"/>
  <c r="H8" i="7"/>
  <c r="S3" i="1"/>
  <c r="S11" i="1"/>
  <c r="X4" i="6"/>
  <c r="AD4" i="6" s="1"/>
  <c r="T6" i="6"/>
  <c r="U6" i="7" s="1"/>
  <c r="V4" i="6"/>
  <c r="AB4" i="6" s="1"/>
  <c r="Y6" i="6"/>
  <c r="AE6" i="6" s="1"/>
  <c r="B6" i="7"/>
  <c r="W4" i="6"/>
  <c r="AC4" i="6" s="1"/>
  <c r="X6" i="6"/>
  <c r="AD6" i="6" s="1"/>
  <c r="V5" i="6"/>
  <c r="AB5" i="6" s="1"/>
  <c r="S4" i="1"/>
  <c r="D3" i="17"/>
  <c r="Y4" i="6"/>
  <c r="AE4" i="6" s="1"/>
  <c r="S10" i="1"/>
  <c r="A18" i="1" l="1"/>
  <c r="B18" i="1"/>
  <c r="AD11" i="1"/>
  <c r="AD4" i="1"/>
  <c r="AD3" i="1"/>
  <c r="AD10" i="1"/>
  <c r="O4" i="6"/>
  <c r="O7" i="6" s="1"/>
  <c r="C4" i="6"/>
  <c r="I4" i="6"/>
  <c r="I7" i="6" s="1"/>
  <c r="T6" i="7"/>
  <c r="W5" i="6"/>
  <c r="AC5" i="6" s="1"/>
  <c r="Z6" i="6"/>
  <c r="AA6" i="7" s="1"/>
  <c r="S5" i="6"/>
  <c r="G5" i="6"/>
  <c r="M5" i="6"/>
  <c r="T8" i="7"/>
  <c r="D6" i="6"/>
  <c r="P6" i="6"/>
  <c r="P6" i="7" s="1"/>
  <c r="J6" i="6"/>
  <c r="J6" i="7" s="1"/>
  <c r="H5" i="6"/>
  <c r="I5" i="7" s="1"/>
  <c r="N5" i="6"/>
  <c r="O5" i="7" s="1"/>
  <c r="B5" i="6"/>
  <c r="C5" i="7" s="1"/>
  <c r="B4" i="6"/>
  <c r="N4" i="6"/>
  <c r="H4" i="6"/>
  <c r="E5" i="17"/>
  <c r="D5" i="17"/>
  <c r="C5" i="17"/>
  <c r="K6" i="6"/>
  <c r="Q6" i="6"/>
  <c r="E6" i="6"/>
  <c r="L5" i="6"/>
  <c r="R5" i="6"/>
  <c r="F5" i="6"/>
  <c r="A19" i="1" l="1"/>
  <c r="B19" i="1"/>
  <c r="O4" i="7"/>
  <c r="I4" i="7"/>
  <c r="I7" i="7" s="1"/>
  <c r="O7" i="7"/>
  <c r="U4" i="6"/>
  <c r="C7" i="6"/>
  <c r="Z6" i="7"/>
  <c r="D4" i="7"/>
  <c r="C4" i="7"/>
  <c r="C7" i="7" s="1"/>
  <c r="Y5" i="6"/>
  <c r="AE5" i="6" s="1"/>
  <c r="V6" i="6"/>
  <c r="D6" i="7"/>
  <c r="B5" i="7"/>
  <c r="T5" i="6"/>
  <c r="U5" i="7" s="1"/>
  <c r="D5" i="7"/>
  <c r="E5" i="7"/>
  <c r="N5" i="7"/>
  <c r="P5" i="7"/>
  <c r="Q5" i="7"/>
  <c r="H5" i="7"/>
  <c r="J5" i="7"/>
  <c r="K5" i="7"/>
  <c r="J4" i="7"/>
  <c r="H4" i="7"/>
  <c r="M4" i="7"/>
  <c r="L4" i="7"/>
  <c r="K4" i="7"/>
  <c r="N4" i="7"/>
  <c r="R4" i="7"/>
  <c r="Q4" i="7"/>
  <c r="S4" i="7"/>
  <c r="P4" i="7"/>
  <c r="T4" i="6"/>
  <c r="B4" i="7"/>
  <c r="G4" i="7"/>
  <c r="E4" i="7"/>
  <c r="F4" i="7"/>
  <c r="S7" i="6"/>
  <c r="G7" i="6"/>
  <c r="N7" i="6"/>
  <c r="D7" i="6"/>
  <c r="E6" i="7"/>
  <c r="W6" i="6"/>
  <c r="AC6" i="6" s="1"/>
  <c r="G6" i="7"/>
  <c r="F6" i="7"/>
  <c r="E7" i="6"/>
  <c r="P7" i="6"/>
  <c r="F5" i="7"/>
  <c r="X5" i="6"/>
  <c r="AD5" i="6" s="1"/>
  <c r="F7" i="6"/>
  <c r="G5" i="7"/>
  <c r="Q6" i="7"/>
  <c r="S6" i="7"/>
  <c r="R6" i="7"/>
  <c r="Q7" i="6"/>
  <c r="M7" i="6"/>
  <c r="H7" i="6"/>
  <c r="J7" i="6"/>
  <c r="S5" i="7"/>
  <c r="R5" i="7"/>
  <c r="R7" i="6"/>
  <c r="K6" i="7"/>
  <c r="M6" i="7"/>
  <c r="K7" i="6"/>
  <c r="L6" i="7"/>
  <c r="B7" i="6"/>
  <c r="M5" i="7"/>
  <c r="L7" i="6"/>
  <c r="L5" i="7"/>
  <c r="A20" i="1" l="1"/>
  <c r="B20" i="1"/>
  <c r="U4" i="7"/>
  <c r="U7" i="7" s="1"/>
  <c r="AA4" i="6"/>
  <c r="AA7" i="6" s="1"/>
  <c r="U7" i="6"/>
  <c r="Z4" i="6"/>
  <c r="AB6" i="6"/>
  <c r="AB6" i="7" s="1"/>
  <c r="V6" i="7"/>
  <c r="Z5" i="6"/>
  <c r="AA5" i="7" s="1"/>
  <c r="T5" i="7"/>
  <c r="W5" i="7"/>
  <c r="V5" i="7"/>
  <c r="B7" i="7"/>
  <c r="Y4" i="7"/>
  <c r="T4" i="7"/>
  <c r="W4" i="7"/>
  <c r="X4" i="7"/>
  <c r="V4" i="7"/>
  <c r="T7" i="6"/>
  <c r="M7" i="7"/>
  <c r="X5" i="7"/>
  <c r="Y5" i="7"/>
  <c r="X7" i="6"/>
  <c r="S7" i="7"/>
  <c r="J7" i="7"/>
  <c r="G7" i="7"/>
  <c r="F7" i="7"/>
  <c r="P7" i="7"/>
  <c r="H7" i="7"/>
  <c r="V7" i="6"/>
  <c r="N7" i="7"/>
  <c r="Y7" i="6"/>
  <c r="L7" i="7"/>
  <c r="Y6" i="7"/>
  <c r="W6" i="7"/>
  <c r="X6" i="7"/>
  <c r="W7" i="6"/>
  <c r="K7" i="7"/>
  <c r="R7" i="7"/>
  <c r="Q7" i="7"/>
  <c r="E7" i="7"/>
  <c r="D7" i="7"/>
  <c r="B21" i="1" l="1"/>
  <c r="A21" i="1"/>
  <c r="AD4" i="7"/>
  <c r="AA4" i="7"/>
  <c r="AA7" i="7" s="1"/>
  <c r="AB4" i="7"/>
  <c r="AE4" i="7"/>
  <c r="B2" i="17" s="1"/>
  <c r="AC4" i="7"/>
  <c r="AD5" i="7"/>
  <c r="Z5" i="7"/>
  <c r="Z4" i="7"/>
  <c r="AD7" i="6"/>
  <c r="AE6" i="7"/>
  <c r="B4" i="17" s="1"/>
  <c r="AE5" i="7"/>
  <c r="B3" i="17" s="1"/>
  <c r="AC7" i="6"/>
  <c r="AC6" i="7"/>
  <c r="AD6" i="7"/>
  <c r="AC5" i="7"/>
  <c r="AB5" i="7"/>
  <c r="W7" i="7"/>
  <c r="X7" i="7"/>
  <c r="T7" i="7"/>
  <c r="V7" i="7"/>
  <c r="Z7" i="6"/>
  <c r="AB7" i="6"/>
  <c r="Y7" i="7"/>
  <c r="AE7" i="6"/>
  <c r="A22" i="1" l="1"/>
  <c r="B22" i="1"/>
  <c r="AB7" i="7"/>
  <c r="AD7" i="7"/>
  <c r="AC7" i="7"/>
  <c r="B5" i="17"/>
  <c r="AE7" i="7"/>
  <c r="Z7" i="7"/>
  <c r="A23" i="1" l="1"/>
  <c r="B23" i="1"/>
  <c r="A24" i="1" l="1"/>
  <c r="B24" i="1"/>
  <c r="B25" i="1" l="1"/>
  <c r="A25" i="1"/>
  <c r="A26" i="1" l="1"/>
  <c r="B26" i="1"/>
  <c r="B27" i="1" l="1"/>
  <c r="A27" i="1"/>
  <c r="A28" i="1" l="1"/>
  <c r="B28" i="1"/>
  <c r="A29" i="1" l="1"/>
  <c r="B29" i="1"/>
  <c r="A30" i="1" l="1"/>
  <c r="B3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Federico Segura</author>
  </authors>
  <commentList>
    <comment ref="X2" authorId="0" shapeId="0" xr:uid="{00000000-0006-0000-0000-000001000000}">
      <text>
        <r>
          <rPr>
            <b/>
            <sz val="14"/>
            <color indexed="81"/>
            <rFont val="Tahoma"/>
            <family val="2"/>
          </rPr>
          <t>¿Puede teletrabajar con los medios de los que dispone? (Tener en cuenta que ha podido dejarse el equipamiento en el edificio afectado</t>
        </r>
        <r>
          <rPr>
            <sz val="14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<sst xmlns="http://schemas.openxmlformats.org/spreadsheetml/2006/main" count="937" uniqueCount="360">
  <si>
    <t>Datos: 2018</t>
  </si>
  <si>
    <t>SEGUIMIENTO EN CONTINGENCIA</t>
  </si>
  <si>
    <t>Ordenar por Criticidad</t>
  </si>
  <si>
    <t>Ordenar por Función</t>
  </si>
  <si>
    <t>Equipo</t>
  </si>
  <si>
    <t>Función Crítica</t>
  </si>
  <si>
    <t>Perfil de la Función</t>
  </si>
  <si>
    <t>Cód. Emp.</t>
  </si>
  <si>
    <t>Criticidad</t>
  </si>
  <si>
    <t>Nombre</t>
  </si>
  <si>
    <t>Estrategia Por Defecto</t>
  </si>
  <si>
    <t>Teléfonos</t>
  </si>
  <si>
    <t>Telfs. Privados</t>
  </si>
  <si>
    <t>Emails</t>
  </si>
  <si>
    <t>Cód. Edificio</t>
  </si>
  <si>
    <t>Ubicación</t>
  </si>
  <si>
    <t>Planta</t>
  </si>
  <si>
    <t>Móvil</t>
  </si>
  <si>
    <t>Tarifa</t>
  </si>
  <si>
    <t>Provincia</t>
  </si>
  <si>
    <t>¿Locali-
zado?</t>
  </si>
  <si>
    <t>Medio de Localización</t>
  </si>
  <si>
    <t>Fecha</t>
  </si>
  <si>
    <t>Hora</t>
  </si>
  <si>
    <t>¿Puede Teletrabajar?</t>
  </si>
  <si>
    <t>Estrategia Definida</t>
  </si>
  <si>
    <t>Comentarios</t>
  </si>
  <si>
    <t>RESP</t>
  </si>
  <si>
    <t>9. Perfil Único</t>
  </si>
  <si>
    <t>4h</t>
  </si>
  <si>
    <t>Backup1</t>
  </si>
  <si>
    <t>48h</t>
  </si>
  <si>
    <t>1s</t>
  </si>
  <si>
    <t>2s</t>
  </si>
  <si>
    <t>Ext. Área</t>
  </si>
  <si>
    <t>Ext. HRE</t>
  </si>
  <si>
    <t>24h</t>
  </si>
  <si>
    <t>Backup2</t>
  </si>
  <si>
    <t>Backup3</t>
  </si>
  <si>
    <t>Área Identificada</t>
  </si>
  <si>
    <t>*TODAS*</t>
  </si>
  <si>
    <t>NO BORRAR ESTO --&gt;</t>
  </si>
  <si>
    <t>MADRID</t>
  </si>
  <si>
    <t>VALENCIA</t>
  </si>
  <si>
    <t>ALMERÍA</t>
  </si>
  <si>
    <t>OTRAS UBICACIONES</t>
  </si>
  <si>
    <t>TOTAL</t>
  </si>
  <si>
    <t>Total Críticos</t>
  </si>
  <si>
    <t>Total Ubicación (Críticos + No críticos)</t>
  </si>
  <si>
    <t>01</t>
  </si>
  <si>
    <t>02</t>
  </si>
  <si>
    <t>03</t>
  </si>
  <si>
    <t>04</t>
  </si>
  <si>
    <t>05</t>
  </si>
  <si>
    <t>06</t>
  </si>
  <si>
    <t>07</t>
  </si>
  <si>
    <t>10</t>
  </si>
  <si>
    <t>11</t>
  </si>
  <si>
    <t>12</t>
  </si>
  <si>
    <t>MURCIA</t>
  </si>
  <si>
    <t>LAS PALMAS DE GRAN CANARIA</t>
  </si>
  <si>
    <t>BARCELONA</t>
  </si>
  <si>
    <t>Equipos</t>
  </si>
  <si>
    <t>Edificio</t>
  </si>
  <si>
    <t>Código</t>
  </si>
  <si>
    <t>Provincias</t>
  </si>
  <si>
    <t>Edificio Marsamar C/ México, 20; 03008 Alicante</t>
  </si>
  <si>
    <t>ALI01</t>
  </si>
  <si>
    <t>ALICANTE</t>
  </si>
  <si>
    <t>00</t>
  </si>
  <si>
    <t>México, 20 5º  Edificio Marsamar; 03008 Alicante; 03008 Alicante</t>
  </si>
  <si>
    <t>ALI02</t>
  </si>
  <si>
    <t>Avenida Cabo de Gata, 23; 04007 Almería</t>
  </si>
  <si>
    <t>ALM01</t>
  </si>
  <si>
    <t>Jardín del Recreo, 4; 05001 Ávila</t>
  </si>
  <si>
    <t>AVI01</t>
  </si>
  <si>
    <t>ÁVILA</t>
  </si>
  <si>
    <t>Av. Josep Tarradellas 38 – 4ª Planta; 08029 Barcelona</t>
  </si>
  <si>
    <t>BAR01</t>
  </si>
  <si>
    <t>Calle General Aguilera, 10; 13001 Ciudad Real</t>
  </si>
  <si>
    <t>REA01</t>
  </si>
  <si>
    <t>CIUDAD REAL</t>
  </si>
  <si>
    <t>;  Granada</t>
  </si>
  <si>
    <t>GRA01</t>
  </si>
  <si>
    <t>GRANADA</t>
  </si>
  <si>
    <t>Pelota, 17 esq. Cl Armas (Barrio de Vegueta); 35001 Las Palmas de Gran Canaria</t>
  </si>
  <si>
    <t>PAL01</t>
  </si>
  <si>
    <t>;  León</t>
  </si>
  <si>
    <t>LEO01</t>
  </si>
  <si>
    <t>LEÓN</t>
  </si>
  <si>
    <t>Avenida República Argentina, 10; 26002 Logroño</t>
  </si>
  <si>
    <t>LOG01</t>
  </si>
  <si>
    <t>LOGROÑO</t>
  </si>
  <si>
    <t>MAD01</t>
  </si>
  <si>
    <t>20</t>
  </si>
  <si>
    <t>MÁLAGA</t>
  </si>
  <si>
    <t>21</t>
  </si>
  <si>
    <t>Avenida Pacífico 31; 29004 Málaga</t>
  </si>
  <si>
    <t>MAL01</t>
  </si>
  <si>
    <t>No participante</t>
  </si>
  <si>
    <t>n</t>
  </si>
  <si>
    <t>PALMA DE MALLORCA</t>
  </si>
  <si>
    <t>Avenida Alfonso X el sabio, 11, Local H, Entresuelo; 30008 Murcia</t>
  </si>
  <si>
    <t>MUR01</t>
  </si>
  <si>
    <t>SANTANDER</t>
  </si>
  <si>
    <t>C/Simo Ballester, nº9 (Centro de Negocios Abbiespais); 07011 Palma de Mallorca</t>
  </si>
  <si>
    <t>PML01</t>
  </si>
  <si>
    <t>SEVILLA</t>
  </si>
  <si>
    <t>Adan Martin, 5 1º Torre 2 oficina 6; 38003 Santa Cruz de Tenerife</t>
  </si>
  <si>
    <t>TEN01</t>
  </si>
  <si>
    <t>TENERIFE</t>
  </si>
  <si>
    <t>Plaza de Velarde, 3; 39001 Santander</t>
  </si>
  <si>
    <t>SAN01</t>
  </si>
  <si>
    <t>Dr. Losada Villasante esquina Av. Ramon Carande; 41013 Sevilla</t>
  </si>
  <si>
    <t>SEV01</t>
  </si>
  <si>
    <t>Calle Luis Montoto, 91; 41018 Sevilla</t>
  </si>
  <si>
    <t>SEV02</t>
  </si>
  <si>
    <t>Av. Cardenal Benlloch, 67 6º; 46021 Valencia</t>
  </si>
  <si>
    <t>VAL01</t>
  </si>
  <si>
    <t>Fecha de listado</t>
  </si>
  <si>
    <t>Empleados</t>
  </si>
  <si>
    <t>Empresa</t>
  </si>
  <si>
    <t>DNI</t>
  </si>
  <si>
    <t>Nombre Completo</t>
  </si>
  <si>
    <t>Usuario</t>
  </si>
  <si>
    <t>Tipo Equipo</t>
  </si>
  <si>
    <t>Teletrabajo</t>
  </si>
  <si>
    <t>Tarifa Datos</t>
  </si>
  <si>
    <t>Ext. Fija</t>
  </si>
  <si>
    <t>Tel. Móvil</t>
  </si>
  <si>
    <t>Ext. Móvil</t>
  </si>
  <si>
    <t>Correo</t>
  </si>
  <si>
    <t>Unidad</t>
  </si>
  <si>
    <t>Area</t>
  </si>
  <si>
    <t>Tipo Cargo</t>
  </si>
  <si>
    <t>Centro de trabajo</t>
  </si>
  <si>
    <t>Tipo Empleado</t>
  </si>
  <si>
    <t>HAYA REAL ESTATE</t>
  </si>
  <si>
    <t>WatchGuard</t>
  </si>
  <si>
    <t>Sí</t>
  </si>
  <si>
    <t>mclopez@haya.es</t>
  </si>
  <si>
    <t>05396975W</t>
  </si>
  <si>
    <t>Santiago Uriel Arias</t>
  </si>
  <si>
    <t>suriel</t>
  </si>
  <si>
    <t>suriel@haya.es</t>
  </si>
  <si>
    <t>IT</t>
  </si>
  <si>
    <t>Director IT</t>
  </si>
  <si>
    <t>31717541N</t>
  </si>
  <si>
    <t>Luis Gomez Cabezas</t>
  </si>
  <si>
    <t>lgomezc</t>
  </si>
  <si>
    <t>lgomezc@haya.es</t>
  </si>
  <si>
    <t>Y0906593Q</t>
  </si>
  <si>
    <t>Marco Selleri</t>
  </si>
  <si>
    <t>mselleri</t>
  </si>
  <si>
    <t>mselleri@haya.es</t>
  </si>
  <si>
    <t>26242996L</t>
  </si>
  <si>
    <t>Nicolas Generoso Barajas</t>
  </si>
  <si>
    <t>ngeneroso</t>
  </si>
  <si>
    <t>ngeneroso@haya.es</t>
  </si>
  <si>
    <t>Canales</t>
  </si>
  <si>
    <t>Responsable Sección Canales</t>
  </si>
  <si>
    <t>44588155X</t>
  </si>
  <si>
    <t>Jose Maria Cortina Alarcon</t>
  </si>
  <si>
    <t>jcortinaa</t>
  </si>
  <si>
    <t>jcortinaa@haya.es</t>
  </si>
  <si>
    <t>51073397B</t>
  </si>
  <si>
    <t>Javier Sanchez Salas</t>
  </si>
  <si>
    <t>jsanchezs</t>
  </si>
  <si>
    <t>jsanchezs@haya.es</t>
  </si>
  <si>
    <t>77363341N</t>
  </si>
  <si>
    <t>Inmaculada Lopez Espinosa</t>
  </si>
  <si>
    <t>ilopeze</t>
  </si>
  <si>
    <t>ilopeze@haya.es</t>
  </si>
  <si>
    <t>Información de Gestión y Reporting</t>
  </si>
  <si>
    <t>50097543R</t>
  </si>
  <si>
    <t>Oscar Dominguez Lopez</t>
  </si>
  <si>
    <t>odominguez</t>
  </si>
  <si>
    <t>odominguez@haya.es</t>
  </si>
  <si>
    <t>Director Equipo Información de Gestión y Reporting</t>
  </si>
  <si>
    <t>50756452Y</t>
  </si>
  <si>
    <t>Francisco Javier Espejo Gonzalez</t>
  </si>
  <si>
    <t>fespejo</t>
  </si>
  <si>
    <t>fespejo@haya.es</t>
  </si>
  <si>
    <t>Gestión de Datos</t>
  </si>
  <si>
    <t>70812467K</t>
  </si>
  <si>
    <t>Javier Encinar Revilla</t>
  </si>
  <si>
    <t>jencinar</t>
  </si>
  <si>
    <t>jencinar@haya.es</t>
  </si>
  <si>
    <t>47455055Y</t>
  </si>
  <si>
    <t>Ivan Santiago Viñambres</t>
  </si>
  <si>
    <t>isantiago</t>
  </si>
  <si>
    <t>isantiago@haya.es</t>
  </si>
  <si>
    <t>Responsable Sección Gestión de Datos</t>
  </si>
  <si>
    <t>20810396L</t>
  </si>
  <si>
    <t>Benjamin Grau Serra</t>
  </si>
  <si>
    <t>bgs</t>
  </si>
  <si>
    <t>bgs@haya.es</t>
  </si>
  <si>
    <t>Servicios Operacionales</t>
  </si>
  <si>
    <t>33410858T</t>
  </si>
  <si>
    <t>Cristina Huguet Martinez</t>
  </si>
  <si>
    <t>chm</t>
  </si>
  <si>
    <t>chm@haya.es</t>
  </si>
  <si>
    <t>70805907Q</t>
  </si>
  <si>
    <t>Antonio Saenz Segovia</t>
  </si>
  <si>
    <t>asaenz</t>
  </si>
  <si>
    <t>asaenz@haya.es</t>
  </si>
  <si>
    <t>Director Equipo Servicios Operacionales</t>
  </si>
  <si>
    <t>07471128S</t>
  </si>
  <si>
    <t>Juan Francisco Poyatos Perez</t>
  </si>
  <si>
    <t>jpoyatos</t>
  </si>
  <si>
    <t>jpoyatos@haya.es</t>
  </si>
  <si>
    <t>Soporte y Desarrollo de Aplicaciones</t>
  </si>
  <si>
    <t>52867739P</t>
  </si>
  <si>
    <t>Mariano Ortiz Benito</t>
  </si>
  <si>
    <t>mortiz</t>
  </si>
  <si>
    <t>mortiz@haya.es</t>
  </si>
  <si>
    <t>73132901P</t>
  </si>
  <si>
    <t>Ricardo Daniel Pardo Rivarola</t>
  </si>
  <si>
    <t>rpardo</t>
  </si>
  <si>
    <t>rpardo@haya.es</t>
  </si>
  <si>
    <t>02894324G</t>
  </si>
  <si>
    <t>Ismael Lorenzo de la Orden</t>
  </si>
  <si>
    <t>ilorenzo</t>
  </si>
  <si>
    <t>ilorenzo@haya.es</t>
  </si>
  <si>
    <t>Director Unidad Soporte y Desarrollo de Aplicaciones</t>
  </si>
  <si>
    <t>44505527K</t>
  </si>
  <si>
    <t>Juan Manuel Monterde Gimeno</t>
  </si>
  <si>
    <t>jmg</t>
  </si>
  <si>
    <t>jmg@haya.es</t>
  </si>
  <si>
    <t>Desarrollo Interno</t>
  </si>
  <si>
    <t>Responsable Sección Desarrollo Interno</t>
  </si>
  <si>
    <t>53007751L</t>
  </si>
  <si>
    <t>Amador Gomez Rivera</t>
  </si>
  <si>
    <t>agomez</t>
  </si>
  <si>
    <t>agomez@haya.es</t>
  </si>
  <si>
    <t>76951579L</t>
  </si>
  <si>
    <t>Silvia Diaz Fernandez</t>
  </si>
  <si>
    <t>sdiaz</t>
  </si>
  <si>
    <t>sdiaz@haya.es</t>
  </si>
  <si>
    <t>Jose Maria Toledano Huerta</t>
  </si>
  <si>
    <t>jtoledano@haya.es</t>
  </si>
  <si>
    <t>Isabel Dolores Herrero Barrena</t>
  </si>
  <si>
    <t>alopezp@haya.es</t>
  </si>
  <si>
    <t>dgarciag</t>
  </si>
  <si>
    <t>dgarciag@haya.es</t>
  </si>
  <si>
    <t>Total Personal Crítico</t>
  </si>
  <si>
    <t>Disponen de Móvil</t>
  </si>
  <si>
    <t>Disponen de Datos</t>
  </si>
  <si>
    <t>Empleado</t>
  </si>
  <si>
    <t>Email</t>
  </si>
  <si>
    <t>Nº asistencias</t>
  </si>
  <si>
    <t>Disponen de Portátil/Tablet</t>
  </si>
  <si>
    <t>¿Empleado 2018?</t>
  </si>
  <si>
    <t>2016 (Jul/Nov)</t>
  </si>
  <si>
    <t>2017 (Jun)</t>
  </si>
  <si>
    <t>2018 (May/Jun)</t>
  </si>
  <si>
    <t>aobon@haya.es</t>
  </si>
  <si>
    <t>CODIGO</t>
  </si>
  <si>
    <t>Tel. fijo</t>
  </si>
  <si>
    <t>Direccion</t>
  </si>
  <si>
    <t>Seccion</t>
  </si>
  <si>
    <t>Gobierno IT</t>
  </si>
  <si>
    <t>05459292N</t>
  </si>
  <si>
    <t>Javier Gonzalez Valencia</t>
  </si>
  <si>
    <t>jgonzalezv</t>
  </si>
  <si>
    <t>jgonzalezv@haya.es</t>
  </si>
  <si>
    <t>Reporting</t>
  </si>
  <si>
    <t>Seguridad IT</t>
  </si>
  <si>
    <t>Director Equipo Seguridad IT</t>
  </si>
  <si>
    <t>09019895P</t>
  </si>
  <si>
    <t>David Garcia Gregorio</t>
  </si>
  <si>
    <t>48979251S</t>
  </si>
  <si>
    <t>Daniel Gutierrez Valle</t>
  </si>
  <si>
    <t>dgutierrez</t>
  </si>
  <si>
    <t>dgutierrez@haya.es</t>
  </si>
  <si>
    <t>50847907J</t>
  </si>
  <si>
    <t>Daniel Santiago Escriu Paradell</t>
  </si>
  <si>
    <t>descriu</t>
  </si>
  <si>
    <t>descriu@haya.es</t>
  </si>
  <si>
    <t>Activos Financieros IT</t>
  </si>
  <si>
    <t>02530371A</t>
  </si>
  <si>
    <t>Antonio Obon Hernandez de Madrid</t>
  </si>
  <si>
    <t>aobon</t>
  </si>
  <si>
    <t>Activos Inmobiliarios IT</t>
  </si>
  <si>
    <t>Código:</t>
  </si>
  <si>
    <t>Fecha actualización:</t>
  </si>
  <si>
    <t>Responsable:</t>
  </si>
  <si>
    <t>Sr. Javier Sánchez</t>
  </si>
  <si>
    <t>Elaborado por:</t>
  </si>
  <si>
    <t>Revisado por:</t>
  </si>
  <si>
    <t>Sr. Javier Sánchez / Sr. Santiago Uriel</t>
  </si>
  <si>
    <t>Aprobado por:</t>
  </si>
  <si>
    <t>Ámbito de afectación:</t>
  </si>
  <si>
    <t>HRE</t>
  </si>
  <si>
    <t>Plan de Continuidad Tecnológica</t>
  </si>
  <si>
    <t>Árbol de Llamadas HRE PCT 2018</t>
  </si>
  <si>
    <t>JMN/FS - SolCN</t>
  </si>
  <si>
    <t>CAT</t>
  </si>
  <si>
    <t>BCAT</t>
  </si>
  <si>
    <t>01. Dirección Información de Gestión y Reporting</t>
  </si>
  <si>
    <t>02. Dirección Servicios y Operaciones</t>
  </si>
  <si>
    <t>03. Dirección Soporte y Desarrollo de Aplicaciones</t>
  </si>
  <si>
    <t>12h</t>
  </si>
  <si>
    <t>08</t>
  </si>
  <si>
    <t>00. Responsable</t>
  </si>
  <si>
    <t>00. Sustituto del Responsable</t>
  </si>
  <si>
    <t>01. Extracción de Datos
02. Carga de Datos DWH
03. Generación de Informes
04. Identificación/Definición Requisitos
05. Integridad del Dato</t>
  </si>
  <si>
    <t>ÁRBOL DE LLAMADAS - CONTINGENCIA HRE PCT</t>
  </si>
  <si>
    <t>¿Alguna vez?</t>
  </si>
  <si>
    <t>HISTÓRICO PARTICIPACIÓN PRUEBAS PCT</t>
  </si>
  <si>
    <t>PCT</t>
  </si>
  <si>
    <t>PCN/PCT</t>
  </si>
  <si>
    <t>PCN</t>
  </si>
  <si>
    <t>Silvia Díaz Fernandez</t>
  </si>
  <si>
    <t>Ángel Lopez-Pequeño Sánchez</t>
  </si>
  <si>
    <t>María del Carmen López Samper</t>
  </si>
  <si>
    <t>Rafael Martínez García</t>
  </si>
  <si>
    <t xml:space="preserve">iherrero@haya.es </t>
  </si>
  <si>
    <t>rmartinezg@haya.es</t>
  </si>
  <si>
    <t>Tablet</t>
  </si>
  <si>
    <t>Calle Medina de Pomar 27; 28042 Madrid</t>
  </si>
  <si>
    <t>Portatil</t>
  </si>
  <si>
    <t>Director Equipo Gobierno IT</t>
  </si>
  <si>
    <t>71220775X</t>
  </si>
  <si>
    <t>Maria Dolores Perea Clemente</t>
  </si>
  <si>
    <t>mperea</t>
  </si>
  <si>
    <t>mperea@haya.es</t>
  </si>
  <si>
    <t>75145633X</t>
  </si>
  <si>
    <t>Raquel Ortiz Pelaez</t>
  </si>
  <si>
    <t>rortiz</t>
  </si>
  <si>
    <t>rortiz@haya.es</t>
  </si>
  <si>
    <t>52415887Z</t>
  </si>
  <si>
    <t>Victor Miguel Martin Nuñez</t>
  </si>
  <si>
    <t>vmartinn</t>
  </si>
  <si>
    <t>vmartinn@haya.es</t>
  </si>
  <si>
    <t>70261598W</t>
  </si>
  <si>
    <t>Ana Lobo Muñoz</t>
  </si>
  <si>
    <t>alobo</t>
  </si>
  <si>
    <t>alobo@haya.es</t>
  </si>
  <si>
    <t>52868326C</t>
  </si>
  <si>
    <t>Raquel Dueñas De la Cruz</t>
  </si>
  <si>
    <t>rduenas</t>
  </si>
  <si>
    <t>rduenas@haya.es</t>
  </si>
  <si>
    <t>Sobremesa</t>
  </si>
  <si>
    <t>Director de Equipo Activos Financieros IT</t>
  </si>
  <si>
    <t>Director Equipo Activos Inmobiliarios IT</t>
  </si>
  <si>
    <t>Arquitectura y Onboarding</t>
  </si>
  <si>
    <t>52871378J</t>
  </si>
  <si>
    <t>Juan Jose Garcia Andres</t>
  </si>
  <si>
    <t>jgarciaa</t>
  </si>
  <si>
    <t>jgarciaa@haya.es</t>
  </si>
  <si>
    <t>Director Equipo Arquitectura y Onboarding</t>
  </si>
  <si>
    <t>01. Mantenimiento Correctivo</t>
  </si>
  <si>
    <t>1. Staff Mantenimiento</t>
  </si>
  <si>
    <t>02. Explotación de los Sistemas</t>
  </si>
  <si>
    <t>2. Staff Explotación</t>
  </si>
  <si>
    <t>03. Onboarding y Migraciones de Salida</t>
  </si>
  <si>
    <t>3. Staff Migraciones</t>
  </si>
  <si>
    <t>01. Servicios Operacionales. Soporte Infraestructura
02. Envío de Información a Terceros</t>
  </si>
  <si>
    <t>01. Staff DWH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</si>
</sst>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[$-C0A]d\-m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Calibri"/>
      <family val="2"/>
      <scheme val="minor"/>
    </font>
    <font>
      <sz val="14"/>
      <color theme="3"/>
      <name val="Calibri"/>
      <family val="2"/>
      <scheme val="minor"/>
    </font>
    <font>
      <b/>
      <i/>
      <shadow/>
      <sz val="28"/>
      <color rgb="FF000000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Arial"/>
      <family val="2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double">
        <color theme="3"/>
      </left>
      <right/>
      <top style="double">
        <color theme="3"/>
      </top>
      <bottom/>
      <diagonal/>
    </border>
    <border>
      <left/>
      <right/>
      <top style="double">
        <color theme="3"/>
      </top>
      <bottom/>
      <diagonal/>
    </border>
    <border>
      <left/>
      <right style="double">
        <color theme="3"/>
      </right>
      <top style="double">
        <color theme="3"/>
      </top>
      <bottom/>
      <diagonal/>
    </border>
    <border>
      <left style="double">
        <color theme="3"/>
      </left>
      <right/>
      <top/>
      <bottom/>
      <diagonal/>
    </border>
    <border>
      <left/>
      <right style="double">
        <color theme="3"/>
      </right>
      <top/>
      <bottom/>
      <diagonal/>
    </border>
    <border>
      <left/>
      <right/>
      <top style="thin">
        <color theme="3"/>
      </top>
      <bottom/>
      <diagonal/>
    </border>
    <border>
      <left/>
      <right/>
      <top/>
      <bottom style="thin">
        <color theme="3"/>
      </bottom>
      <diagonal/>
    </border>
    <border>
      <left style="double">
        <color theme="3"/>
      </left>
      <right/>
      <top/>
      <bottom style="double">
        <color theme="3"/>
      </bottom>
      <diagonal/>
    </border>
    <border>
      <left/>
      <right/>
      <top/>
      <bottom style="double">
        <color theme="3"/>
      </bottom>
      <diagonal/>
    </border>
    <border>
      <left/>
      <right style="double">
        <color theme="3"/>
      </right>
      <top/>
      <bottom style="double">
        <color theme="3"/>
      </bottom>
      <diagonal/>
    </border>
  </borders>
  <cellStyleXfs count="11">
    <xf numFmtId="165" fontId="0" fillId="0" borderId="0"/>
    <xf numFmtId="165" fontId="2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4" fontId="1" fillId="0" borderId="0" applyFont="0" applyFill="0" applyBorder="0" applyAlignment="0" applyProtection="0"/>
    <xf numFmtId="165" fontId="13" fillId="0" borderId="0" applyNumberFormat="0" applyFill="0" applyBorder="0" applyAlignment="0" applyProtection="0"/>
    <xf numFmtId="0" fontId="2" fillId="0" borderId="0"/>
    <xf numFmtId="0" fontId="1" fillId="0" borderId="0"/>
    <xf numFmtId="0" fontId="18" fillId="0" borderId="0"/>
  </cellStyleXfs>
  <cellXfs count="102">
    <xf numFmtId="165" fontId="0" fillId="0" borderId="0" xfId="0"/>
    <xf numFmtId="0" fontId="7" fillId="11" borderId="4" xfId="0" applyNumberFormat="1" applyFont="1" applyFill="1" applyBorder="1" applyAlignment="1">
      <alignment vertical="center" wrapText="1"/>
    </xf>
    <xf numFmtId="0" fontId="7" fillId="11" borderId="5" xfId="0" applyNumberFormat="1" applyFont="1" applyFill="1" applyBorder="1" applyAlignment="1">
      <alignment vertical="center" wrapText="1"/>
    </xf>
    <xf numFmtId="0" fontId="7" fillId="11" borderId="5" xfId="0" quotePrefix="1" applyNumberFormat="1" applyFont="1" applyFill="1" applyBorder="1" applyAlignment="1">
      <alignment horizontal="center" vertical="center" wrapText="1"/>
    </xf>
    <xf numFmtId="0" fontId="7" fillId="11" borderId="1" xfId="0" applyNumberFormat="1" applyFont="1" applyFill="1" applyBorder="1" applyAlignment="1">
      <alignment vertical="center" wrapText="1"/>
    </xf>
    <xf numFmtId="0" fontId="9" fillId="0" borderId="0" xfId="0" applyNumberFormat="1" applyFont="1" applyAlignment="1">
      <alignment horizontal="center" vertical="center" wrapText="1"/>
    </xf>
    <xf numFmtId="0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1" xfId="0" applyNumberFormat="1" applyFont="1" applyFill="1" applyBorder="1" applyAlignment="1">
      <alignment horizontal="center" vertical="center" wrapText="1"/>
    </xf>
    <xf numFmtId="0" fontId="10" fillId="2" borderId="1" xfId="0" applyNumberFormat="1" applyFont="1" applyFill="1" applyBorder="1" applyAlignment="1" applyProtection="1">
      <alignment horizontal="left" vertical="center" wrapText="1"/>
      <protection locked="0"/>
    </xf>
    <xf numFmtId="0" fontId="10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5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10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horizontal="center" vertical="center" wrapText="1"/>
    </xf>
    <xf numFmtId="0" fontId="9" fillId="0" borderId="1" xfId="0" applyNumberFormat="1" applyFont="1" applyBorder="1" applyAlignment="1" applyProtection="1">
      <alignment horizontal="left" vertical="center" wrapText="1"/>
      <protection locked="0"/>
    </xf>
    <xf numFmtId="0" fontId="9" fillId="0" borderId="1" xfId="0" applyNumberFormat="1" applyFont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horizontal="left" vertical="center" wrapText="1"/>
    </xf>
    <xf numFmtId="0" fontId="9" fillId="17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 applyProtection="1">
      <alignment horizontal="left" vertical="center" wrapText="1"/>
      <protection locked="0"/>
    </xf>
    <xf numFmtId="0" fontId="10" fillId="0" borderId="0" xfId="0" applyNumberFormat="1" applyFont="1" applyAlignment="1" applyProtection="1">
      <alignment horizontal="center" vertical="center" wrapText="1"/>
      <protection locked="0"/>
    </xf>
    <xf numFmtId="0" fontId="9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NumberFormat="1"/>
    <xf numFmtId="0" fontId="3" fillId="4" borderId="1" xfId="4" applyNumberFormat="1" applyFont="1" applyFill="1" applyBorder="1" applyAlignment="1">
      <alignment vertical="center"/>
    </xf>
    <xf numFmtId="0" fontId="3" fillId="4" borderId="1" xfId="4" applyNumberFormat="1" applyFont="1" applyFill="1" applyBorder="1" applyAlignment="1">
      <alignment horizontal="center" vertical="center"/>
    </xf>
    <xf numFmtId="0" fontId="0" fillId="0" borderId="9" xfId="0" applyNumberFormat="1" applyBorder="1"/>
    <xf numFmtId="0" fontId="1" fillId="0" borderId="1" xfId="4" applyNumberFormat="1" applyBorder="1" applyAlignment="1">
      <alignment horizontal="center" vertical="center"/>
    </xf>
    <xf numFmtId="0" fontId="0" fillId="0" borderId="10" xfId="0" applyNumberFormat="1" applyBorder="1"/>
    <xf numFmtId="0" fontId="0" fillId="0" borderId="11" xfId="0" applyNumberFormat="1" applyBorder="1"/>
    <xf numFmtId="0" fontId="0" fillId="0" borderId="1" xfId="0" applyNumberFormat="1" applyBorder="1" applyAlignment="1">
      <alignment horizontal="left" vertical="center"/>
    </xf>
    <xf numFmtId="0" fontId="4" fillId="5" borderId="0" xfId="0" applyNumberFormat="1" applyFont="1" applyFill="1" applyAlignment="1">
      <alignment horizontal="right"/>
    </xf>
    <xf numFmtId="0" fontId="3" fillId="4" borderId="1" xfId="4" applyNumberFormat="1" applyFont="1" applyFill="1" applyBorder="1" applyAlignment="1">
      <alignment horizontal="left" vertical="center"/>
    </xf>
    <xf numFmtId="0" fontId="1" fillId="0" borderId="0" xfId="4" applyNumberFormat="1"/>
    <xf numFmtId="0" fontId="3" fillId="4" borderId="2" xfId="4" applyNumberFormat="1" applyFont="1" applyFill="1" applyBorder="1" applyAlignment="1">
      <alignment horizontal="center" vertical="center"/>
    </xf>
    <xf numFmtId="0" fontId="3" fillId="4" borderId="2" xfId="4" applyNumberFormat="1" applyFont="1" applyFill="1" applyBorder="1" applyAlignment="1">
      <alignment vertical="center"/>
    </xf>
    <xf numFmtId="0" fontId="1" fillId="0" borderId="0" xfId="4" applyNumberFormat="1" applyAlignment="1">
      <alignment vertical="center"/>
    </xf>
    <xf numFmtId="0" fontId="0" fillId="0" borderId="1" xfId="0" applyNumberFormat="1" applyBorder="1" applyAlignment="1">
      <alignment horizontal="center" vertical="center"/>
    </xf>
    <xf numFmtId="0" fontId="1" fillId="0" borderId="1" xfId="4" applyNumberFormat="1" applyBorder="1" applyAlignment="1">
      <alignment horizontal="center" vertical="center" wrapText="1"/>
    </xf>
    <xf numFmtId="0" fontId="0" fillId="0" borderId="1" xfId="4" applyNumberFormat="1" applyFont="1" applyBorder="1" applyAlignment="1">
      <alignment horizontal="center" vertical="center" wrapText="1"/>
    </xf>
    <xf numFmtId="0" fontId="0" fillId="0" borderId="1" xfId="4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1" fillId="0" borderId="0" xfId="5" applyNumberFormat="1" applyAlignment="1">
      <alignment horizontal="left" vertical="center"/>
    </xf>
    <xf numFmtId="0" fontId="4" fillId="5" borderId="6" xfId="5" applyNumberFormat="1" applyFont="1" applyFill="1" applyBorder="1" applyAlignment="1">
      <alignment horizontal="center" vertical="center"/>
    </xf>
    <xf numFmtId="0" fontId="0" fillId="5" borderId="3" xfId="5" applyNumberFormat="1" applyFont="1" applyFill="1" applyBorder="1" applyAlignment="1">
      <alignment horizontal="center" vertical="center"/>
    </xf>
    <xf numFmtId="0" fontId="1" fillId="0" borderId="0" xfId="5" applyNumberFormat="1" applyAlignment="1">
      <alignment horizontal="right" vertical="center"/>
    </xf>
    <xf numFmtId="0" fontId="1" fillId="0" borderId="0" xfId="5" applyNumberFormat="1" applyAlignment="1">
      <alignment vertical="center"/>
    </xf>
    <xf numFmtId="0" fontId="1" fillId="0" borderId="0" xfId="5" applyNumberFormat="1" applyAlignment="1">
      <alignment horizontal="left" vertical="center" wrapText="1"/>
    </xf>
    <xf numFmtId="0" fontId="1" fillId="0" borderId="0" xfId="5" applyNumberFormat="1" applyAlignment="1">
      <alignment horizontal="center" vertical="center"/>
    </xf>
    <xf numFmtId="0" fontId="4" fillId="14" borderId="1" xfId="5" applyNumberFormat="1" applyFont="1" applyFill="1" applyBorder="1" applyAlignment="1">
      <alignment horizontal="center" vertical="center"/>
    </xf>
    <xf numFmtId="0" fontId="4" fillId="14" borderId="1" xfId="5" applyNumberFormat="1" applyFont="1" applyFill="1" applyBorder="1" applyAlignment="1">
      <alignment horizontal="right" vertical="center"/>
    </xf>
    <xf numFmtId="0" fontId="4" fillId="14" borderId="1" xfId="5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1" fillId="0" borderId="1" xfId="5" applyNumberFormat="1" applyBorder="1" applyAlignment="1">
      <alignment horizontal="center" vertical="center"/>
    </xf>
    <xf numFmtId="0" fontId="13" fillId="0" borderId="1" xfId="7" applyNumberFormat="1" applyBorder="1"/>
    <xf numFmtId="0" fontId="0" fillId="0" borderId="1" xfId="0" applyNumberFormat="1" applyBorder="1" applyAlignment="1">
      <alignment horizontal="right"/>
    </xf>
    <xf numFmtId="0" fontId="12" fillId="0" borderId="1" xfId="0" applyNumberFormat="1" applyFont="1" applyBorder="1"/>
    <xf numFmtId="0" fontId="0" fillId="0" borderId="0" xfId="0" applyNumberFormat="1" applyAlignment="1">
      <alignment horizontal="right"/>
    </xf>
    <xf numFmtId="0" fontId="8" fillId="0" borderId="1" xfId="1" applyNumberFormat="1" applyFont="1" applyBorder="1" applyAlignment="1">
      <alignment horizontal="left" vertical="center" wrapText="1"/>
    </xf>
    <xf numFmtId="0" fontId="8" fillId="0" borderId="1" xfId="1" applyNumberFormat="1" applyFont="1" applyBorder="1" applyAlignment="1">
      <alignment horizontal="center" vertical="center" wrapText="1"/>
    </xf>
    <xf numFmtId="0" fontId="0" fillId="17" borderId="1" xfId="0" applyNumberForma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/>
    <xf numFmtId="0" fontId="0" fillId="0" borderId="1" xfId="0" applyNumberFormat="1" applyBorder="1" applyAlignment="1">
      <alignment wrapText="1"/>
    </xf>
    <xf numFmtId="0" fontId="14" fillId="18" borderId="0" xfId="8" applyFont="1" applyFill="1"/>
    <xf numFmtId="0" fontId="15" fillId="18" borderId="12" xfId="8" applyFont="1" applyFill="1" applyBorder="1"/>
    <xf numFmtId="0" fontId="15" fillId="18" borderId="13" xfId="8" applyFont="1" applyFill="1" applyBorder="1"/>
    <xf numFmtId="0" fontId="15" fillId="18" borderId="14" xfId="8" applyFont="1" applyFill="1" applyBorder="1"/>
    <xf numFmtId="0" fontId="14" fillId="18" borderId="15" xfId="8" applyFont="1" applyFill="1" applyBorder="1"/>
    <xf numFmtId="0" fontId="14" fillId="18" borderId="16" xfId="8" applyFont="1" applyFill="1" applyBorder="1"/>
    <xf numFmtId="0" fontId="14" fillId="18" borderId="15" xfId="8" applyFont="1" applyFill="1" applyBorder="1" applyAlignment="1">
      <alignment vertical="center"/>
    </xf>
    <xf numFmtId="0" fontId="14" fillId="18" borderId="16" xfId="8" applyFont="1" applyFill="1" applyBorder="1" applyAlignment="1">
      <alignment vertical="center"/>
    </xf>
    <xf numFmtId="0" fontId="14" fillId="18" borderId="0" xfId="8" applyFont="1" applyFill="1" applyAlignment="1">
      <alignment vertical="center"/>
    </xf>
    <xf numFmtId="0" fontId="17" fillId="18" borderId="0" xfId="8" applyFont="1" applyFill="1" applyAlignment="1">
      <alignment horizontal="center"/>
    </xf>
    <xf numFmtId="0" fontId="17" fillId="18" borderId="16" xfId="10" applyFont="1" applyFill="1" applyBorder="1" applyAlignment="1">
      <alignment vertical="center" wrapText="1"/>
    </xf>
    <xf numFmtId="0" fontId="20" fillId="18" borderId="0" xfId="8" applyFont="1" applyFill="1" applyAlignment="1">
      <alignment horizontal="right"/>
    </xf>
    <xf numFmtId="0" fontId="17" fillId="18" borderId="5" xfId="8" applyFont="1" applyFill="1" applyBorder="1" applyAlignment="1" applyProtection="1">
      <alignment horizontal="left"/>
      <protection locked="0"/>
    </xf>
    <xf numFmtId="0" fontId="14" fillId="18" borderId="5" xfId="8" applyFont="1" applyFill="1" applyBorder="1"/>
    <xf numFmtId="0" fontId="20" fillId="18" borderId="5" xfId="8" applyFont="1" applyFill="1" applyBorder="1" applyAlignment="1">
      <alignment horizontal="right"/>
    </xf>
    <xf numFmtId="0" fontId="17" fillId="18" borderId="0" xfId="8" applyFont="1" applyFill="1" applyAlignment="1" applyProtection="1">
      <alignment vertical="center" wrapText="1"/>
      <protection locked="0"/>
    </xf>
    <xf numFmtId="0" fontId="21" fillId="18" borderId="0" xfId="8" applyFont="1" applyFill="1" applyAlignment="1">
      <alignment horizontal="right"/>
    </xf>
    <xf numFmtId="14" fontId="17" fillId="18" borderId="5" xfId="8" applyNumberFormat="1" applyFont="1" applyFill="1" applyBorder="1" applyAlignment="1" applyProtection="1">
      <alignment horizontal="left"/>
      <protection locked="0"/>
    </xf>
    <xf numFmtId="0" fontId="17" fillId="18" borderId="0" xfId="8" applyFont="1" applyFill="1" applyAlignment="1" applyProtection="1">
      <alignment horizontal="left"/>
      <protection locked="0"/>
    </xf>
    <xf numFmtId="0" fontId="14" fillId="18" borderId="19" xfId="8" applyFont="1" applyFill="1" applyBorder="1"/>
    <xf numFmtId="0" fontId="14" fillId="18" borderId="20" xfId="8" applyFont="1" applyFill="1" applyBorder="1"/>
    <xf numFmtId="0" fontId="14" fillId="18" borderId="21" xfId="8" applyFont="1" applyFill="1" applyBorder="1"/>
    <xf numFmtId="0" fontId="3" fillId="3" borderId="1" xfId="4" applyNumberFormat="1" applyFont="1" applyFill="1" applyBorder="1" applyAlignment="1">
      <alignment vertical="center"/>
    </xf>
    <xf numFmtId="0" fontId="11" fillId="15" borderId="1" xfId="0" applyNumberFormat="1" applyFont="1" applyFill="1" applyBorder="1" applyAlignment="1">
      <alignment horizontal="center" vertical="center" wrapText="1"/>
    </xf>
    <xf numFmtId="0" fontId="0" fillId="0" borderId="1" xfId="1" applyNumberFormat="1" applyFont="1" applyBorder="1" applyAlignment="1">
      <alignment horizontal="left" vertical="center" wrapText="1"/>
    </xf>
    <xf numFmtId="0" fontId="0" fillId="0" borderId="1" xfId="1" applyNumberFormat="1" applyFont="1" applyBorder="1" applyAlignment="1">
      <alignment horizontal="center" vertical="center" wrapText="1"/>
    </xf>
    <xf numFmtId="0" fontId="9" fillId="0" borderId="1" xfId="0" quotePrefix="1" applyNumberFormat="1" applyFont="1" applyBorder="1" applyAlignment="1" applyProtection="1">
      <alignment horizontal="left" vertical="center" wrapText="1"/>
      <protection locked="0"/>
    </xf>
    <xf numFmtId="0" fontId="16" fillId="0" borderId="0" xfId="9" applyFont="1" applyAlignment="1">
      <alignment horizontal="center" vertical="center" wrapText="1" readingOrder="1"/>
    </xf>
    <xf numFmtId="0" fontId="19" fillId="18" borderId="17" xfId="10" applyFont="1" applyFill="1" applyBorder="1" applyAlignment="1">
      <alignment horizontal="center" vertical="center" wrapText="1"/>
    </xf>
    <xf numFmtId="0" fontId="19" fillId="18" borderId="18" xfId="10" applyFont="1" applyFill="1" applyBorder="1" applyAlignment="1">
      <alignment horizontal="center" vertical="center" wrapText="1"/>
    </xf>
    <xf numFmtId="0" fontId="7" fillId="13" borderId="1" xfId="0" applyNumberFormat="1" applyFont="1" applyFill="1" applyBorder="1" applyAlignment="1">
      <alignment horizontal="center" vertical="center" wrapText="1"/>
    </xf>
    <xf numFmtId="0" fontId="7" fillId="11" borderId="1" xfId="0" applyNumberFormat="1" applyFont="1" applyFill="1" applyBorder="1" applyAlignment="1">
      <alignment horizontal="center" vertical="center" wrapText="1"/>
    </xf>
    <xf numFmtId="0" fontId="7" fillId="11" borderId="1" xfId="0" applyNumberFormat="1" applyFont="1" applyFill="1" applyBorder="1" applyAlignment="1">
      <alignment horizontal="left" vertical="center" wrapText="1"/>
    </xf>
    <xf numFmtId="0" fontId="7" fillId="16" borderId="7" xfId="0" applyNumberFormat="1" applyFont="1" applyFill="1" applyBorder="1" applyAlignment="1">
      <alignment horizontal="center" vertical="center" wrapText="1"/>
    </xf>
    <xf numFmtId="0" fontId="7" fillId="16" borderId="8" xfId="0" applyNumberFormat="1" applyFont="1" applyFill="1" applyBorder="1" applyAlignment="1">
      <alignment horizontal="center" vertical="center" wrapText="1"/>
    </xf>
    <xf numFmtId="0" fontId="3" fillId="4" borderId="1" xfId="4" applyNumberFormat="1" applyFont="1" applyFill="1" applyBorder="1" applyAlignment="1">
      <alignment horizontal="center" vertical="center"/>
    </xf>
    <xf numFmtId="0" fontId="3" fillId="3" borderId="1" xfId="4" applyNumberFormat="1" applyFont="1" applyFill="1" applyBorder="1" applyAlignment="1">
      <alignment horizontal="center" vertical="center"/>
    </xf>
    <xf numFmtId="0" fontId="4" fillId="7" borderId="1" xfId="0" applyNumberFormat="1" applyFont="1" applyFill="1" applyBorder="1" applyAlignment="1">
      <alignment horizontal="center"/>
    </xf>
    <xf numFmtId="0" fontId="4" fillId="9" borderId="1" xfId="0" applyNumberFormat="1" applyFont="1" applyFill="1" applyBorder="1" applyAlignment="1">
      <alignment horizontal="center"/>
    </xf>
    <xf numFmtId="0" fontId="4" fillId="6" borderId="1" xfId="0" applyNumberFormat="1" applyFont="1" applyFill="1" applyBorder="1" applyAlignment="1">
      <alignment horizontal="center"/>
    </xf>
    <xf numFmtId="0" fontId="3" fillId="10" borderId="1" xfId="0" applyNumberFormat="1" applyFont="1" applyFill="1" applyBorder="1" applyAlignment="1">
      <alignment horizontal="center"/>
    </xf>
    <xf numFmtId="0" fontId="3" fillId="8" borderId="1" xfId="0" applyNumberFormat="1" applyFont="1" applyFill="1" applyBorder="1" applyAlignment="1">
      <alignment horizontal="center"/>
    </xf>
  </cellXfs>
  <cellStyles count="11">
    <cellStyle name="Hipervínculo" xfId="7" builtinId="8"/>
    <cellStyle name="Millares 2" xfId="6" xr:uid="{00000000-0005-0000-0000-000002000000}"/>
    <cellStyle name="Normal" xfId="0" builtinId="0"/>
    <cellStyle name="Normal 2" xfId="1" xr:uid="{00000000-0005-0000-0000-000004000000}"/>
    <cellStyle name="Normal 2 2" xfId="10" xr:uid="{FCAF77D0-FFAE-4147-B8EC-9E0A904CFB85}"/>
    <cellStyle name="Normal 3" xfId="2" xr:uid="{00000000-0005-0000-0000-000005000000}"/>
    <cellStyle name="Normal 4" xfId="3" xr:uid="{00000000-0005-0000-0000-000006000000}"/>
    <cellStyle name="Normal 4 2" xfId="5" xr:uid="{00000000-0005-0000-0000-000007000000}"/>
    <cellStyle name="Normal 4 3" xfId="8" xr:uid="{EED994C3-B23F-4FE1-A0FF-EC6E0F658215}"/>
    <cellStyle name="Normal 5" xfId="4" xr:uid="{00000000-0005-0000-0000-000008000000}"/>
    <cellStyle name="Normal 6" xfId="9" xr:uid="{BAB92396-1F76-495A-8338-700A34FC3E63}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3" tint="0.5999633777886288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rgb="FF00B050"/>
      </font>
      <fill>
        <patternFill>
          <bgColor rgb="FFD9FFEA"/>
        </patternFill>
      </fill>
    </dxf>
    <dxf>
      <font>
        <b val="0"/>
        <i val="0"/>
      </font>
      <fill>
        <patternFill patternType="solid"/>
      </fill>
      <border>
        <left style="dashDot">
          <color theme="1"/>
        </left>
        <right style="dashDot">
          <color theme="1"/>
        </right>
        <top style="dashDot">
          <color theme="1"/>
        </top>
        <bottom style="dashDot">
          <color theme="1"/>
        </bottom>
      </border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rgb="FFFF0000"/>
      </font>
      <fill>
        <patternFill>
          <bgColor rgb="FFFFAFAF"/>
        </patternFill>
      </fill>
    </dxf>
  </dxfs>
  <tableStyles count="0" defaultTableStyle="TableStyleMedium9" defaultPivotStyle="PivotStyleLight16"/>
  <colors>
    <mruColors>
      <color rgb="FFD9FFEA"/>
      <color rgb="FFFFAFAF"/>
      <color rgb="FFFF9393"/>
      <color rgb="FFFF481D"/>
      <color rgb="FFFA7A7A"/>
      <color rgb="FFFF6699"/>
      <color rgb="FFFF3399"/>
      <color rgb="FFFF7C80"/>
      <color rgb="FFFFFFD1"/>
      <color rgb="FFFBE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1057645</xdr:colOff>
      <xdr:row>1</xdr:row>
      <xdr:rowOff>212750</xdr:rowOff>
    </xdr:from>
    <xdr:to>
      <xdr:col>6</xdr:col>
      <xdr:colOff>627890</xdr:colOff>
      <xdr:row>6</xdr:row>
      <xdr:rowOff>122465</xdr:rowOff>
    </xdr:to>
    <xdr:pic>
      <xdr:nvPicPr>
        <xdr:cNvPr id="2" name="Picture 1" descr="C:\Users\ALFANEXT\Documents\Downloads\LOGO HAYA.jpg">
          <a:extLst>
            <a:ext uri="{FF2B5EF4-FFF2-40B4-BE49-F238E27FC236}">
              <a16:creationId xmlns:a16="http://schemas.microsoft.com/office/drawing/2014/main" id="{3603AE4C-3520-4C5A-A35B-055EFABDD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945" y="308000"/>
          <a:ext cx="998995" cy="109081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54412</xdr:colOff>
      <xdr:row>0</xdr:row>
      <xdr:rowOff>84362</xdr:rowOff>
    </xdr:from>
    <xdr:to>
      <xdr:col>7</xdr:col>
      <xdr:colOff>1494412</xdr:colOff>
      <xdr:row>0</xdr:row>
      <xdr:rowOff>300362</xdr:rowOff>
    </xdr:to>
    <xdr:sp macro="[0]!filtro_respcanbcan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84555" y="84362"/>
          <a:ext cx="1440000" cy="216000"/>
        </a:xfrm>
        <a:prstGeom prst="rect">
          <a:avLst/>
        </a:prstGeom>
        <a:solidFill>
          <a:srgbClr val="002060"/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s-ES" sz="1600" b="1">
              <a:solidFill>
                <a:schemeClr val="bg1"/>
              </a:solidFill>
              <a:latin typeface="+mn-lt"/>
              <a:ea typeface="+mn-ea"/>
              <a:cs typeface="+mn-cs"/>
            </a:rPr>
            <a:t>RESP</a:t>
          </a:r>
          <a:r>
            <a:rPr lang="es-E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y </a:t>
          </a:r>
          <a:r>
            <a:rPr lang="es-ES" sz="1600" b="1">
              <a:solidFill>
                <a:schemeClr val="bg1"/>
              </a:solidFill>
              <a:latin typeface="+mn-lt"/>
              <a:ea typeface="+mn-ea"/>
              <a:cs typeface="+mn-cs"/>
            </a:rPr>
            <a:t>CATs</a:t>
          </a:r>
        </a:p>
      </xdr:txBody>
    </xdr:sp>
    <xdr:clientData/>
  </xdr:twoCellAnchor>
  <xdr:twoCellAnchor>
    <xdr:from>
      <xdr:col>7</xdr:col>
      <xdr:colOff>1612435</xdr:colOff>
      <xdr:row>0</xdr:row>
      <xdr:rowOff>84362</xdr:rowOff>
    </xdr:from>
    <xdr:to>
      <xdr:col>8</xdr:col>
      <xdr:colOff>616757</xdr:colOff>
      <xdr:row>0</xdr:row>
      <xdr:rowOff>300362</xdr:rowOff>
    </xdr:to>
    <xdr:sp macro="[0]!filtro_sustitutos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742578" y="84362"/>
          <a:ext cx="1440000" cy="216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SUSTITUTOS</a:t>
          </a:r>
        </a:p>
      </xdr:txBody>
    </xdr:sp>
    <xdr:clientData/>
  </xdr:twoCellAnchor>
  <xdr:twoCellAnchor>
    <xdr:from>
      <xdr:col>8</xdr:col>
      <xdr:colOff>734781</xdr:colOff>
      <xdr:row>0</xdr:row>
      <xdr:rowOff>84362</xdr:rowOff>
    </xdr:from>
    <xdr:to>
      <xdr:col>9</xdr:col>
      <xdr:colOff>882102</xdr:colOff>
      <xdr:row>0</xdr:row>
      <xdr:rowOff>300362</xdr:rowOff>
    </xdr:to>
    <xdr:sp macro="[0]!filtro_externos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300602" y="84362"/>
          <a:ext cx="1440000" cy="216000"/>
        </a:xfrm>
        <a:prstGeom prst="rect">
          <a:avLst/>
        </a:prstGeom>
        <a:solidFill>
          <a:srgbClr val="FFFF00"/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BACKUPS</a:t>
          </a:r>
          <a:r>
            <a:rPr lang="es-ES" sz="16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EXT.</a:t>
          </a:r>
          <a:endParaRPr lang="es-ES" sz="16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54430</xdr:colOff>
      <xdr:row>0</xdr:row>
      <xdr:rowOff>368219</xdr:rowOff>
    </xdr:from>
    <xdr:to>
      <xdr:col>7</xdr:col>
      <xdr:colOff>774430</xdr:colOff>
      <xdr:row>0</xdr:row>
      <xdr:rowOff>584219</xdr:rowOff>
    </xdr:to>
    <xdr:sp macro="[0]!filtro_activar_4h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84573" y="368219"/>
          <a:ext cx="720000" cy="216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4h</a:t>
          </a:r>
        </a:p>
      </xdr:txBody>
    </xdr:sp>
    <xdr:clientData/>
  </xdr:twoCellAnchor>
  <xdr:twoCellAnchor>
    <xdr:from>
      <xdr:col>7</xdr:col>
      <xdr:colOff>1064722</xdr:colOff>
      <xdr:row>0</xdr:row>
      <xdr:rowOff>368219</xdr:rowOff>
    </xdr:from>
    <xdr:to>
      <xdr:col>7</xdr:col>
      <xdr:colOff>1784722</xdr:colOff>
      <xdr:row>0</xdr:row>
      <xdr:rowOff>584219</xdr:rowOff>
    </xdr:to>
    <xdr:sp macro="[0]!filtro_activar_24h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378686" y="368219"/>
          <a:ext cx="720000" cy="216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24h</a:t>
          </a:r>
        </a:p>
      </xdr:txBody>
    </xdr:sp>
    <xdr:clientData/>
  </xdr:twoCellAnchor>
  <xdr:twoCellAnchor>
    <xdr:from>
      <xdr:col>7</xdr:col>
      <xdr:colOff>2075014</xdr:colOff>
      <xdr:row>0</xdr:row>
      <xdr:rowOff>368219</xdr:rowOff>
    </xdr:from>
    <xdr:to>
      <xdr:col>8</xdr:col>
      <xdr:colOff>196049</xdr:colOff>
      <xdr:row>0</xdr:row>
      <xdr:rowOff>584219</xdr:rowOff>
    </xdr:to>
    <xdr:sp macro="[0]!filtro_activar_48h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388978" y="368219"/>
          <a:ext cx="720000" cy="216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48h</a:t>
          </a:r>
        </a:p>
      </xdr:txBody>
    </xdr:sp>
    <xdr:clientData/>
  </xdr:twoCellAnchor>
  <xdr:twoCellAnchor>
    <xdr:from>
      <xdr:col>8</xdr:col>
      <xdr:colOff>486341</xdr:colOff>
      <xdr:row>0</xdr:row>
      <xdr:rowOff>368219</xdr:rowOff>
    </xdr:from>
    <xdr:to>
      <xdr:col>8</xdr:col>
      <xdr:colOff>1206341</xdr:colOff>
      <xdr:row>0</xdr:row>
      <xdr:rowOff>584219</xdr:rowOff>
    </xdr:to>
    <xdr:sp macro="[0]!filtro_activar_1s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399270" y="368219"/>
          <a:ext cx="720000" cy="216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1s</a:t>
          </a:r>
        </a:p>
      </xdr:txBody>
    </xdr:sp>
    <xdr:clientData/>
  </xdr:twoCellAnchor>
  <xdr:twoCellAnchor>
    <xdr:from>
      <xdr:col>9</xdr:col>
      <xdr:colOff>163134</xdr:colOff>
      <xdr:row>0</xdr:row>
      <xdr:rowOff>368219</xdr:rowOff>
    </xdr:from>
    <xdr:to>
      <xdr:col>9</xdr:col>
      <xdr:colOff>883134</xdr:colOff>
      <xdr:row>0</xdr:row>
      <xdr:rowOff>584219</xdr:rowOff>
    </xdr:to>
    <xdr:sp macro="[0]!filtro_activar_2s" textlink="">
      <xdr:nvSpPr>
        <xdr:cNvPr id="11" name="10 Rectángul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300205" y="368219"/>
          <a:ext cx="720000" cy="216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2s</a:t>
          </a:r>
        </a:p>
      </xdr:txBody>
    </xdr:sp>
    <xdr:clientData/>
  </xdr:twoCellAnchor>
  <xdr:twoCellAnchor>
    <xdr:from>
      <xdr:col>4</xdr:col>
      <xdr:colOff>40806</xdr:colOff>
      <xdr:row>0</xdr:row>
      <xdr:rowOff>84361</xdr:rowOff>
    </xdr:from>
    <xdr:to>
      <xdr:col>4</xdr:col>
      <xdr:colOff>1516806</xdr:colOff>
      <xdr:row>0</xdr:row>
      <xdr:rowOff>312964</xdr:rowOff>
    </xdr:to>
    <xdr:sp macro="[0]!autoajustar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335715" y="84361"/>
          <a:ext cx="1476000" cy="22860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V.COMPLETA</a:t>
          </a:r>
        </a:p>
      </xdr:txBody>
    </xdr:sp>
    <xdr:clientData/>
  </xdr:twoCellAnchor>
  <xdr:twoCellAnchor>
    <xdr:from>
      <xdr:col>4</xdr:col>
      <xdr:colOff>40806</xdr:colOff>
      <xdr:row>0</xdr:row>
      <xdr:rowOff>370111</xdr:rowOff>
    </xdr:from>
    <xdr:to>
      <xdr:col>4</xdr:col>
      <xdr:colOff>1516806</xdr:colOff>
      <xdr:row>0</xdr:row>
      <xdr:rowOff>598714</xdr:rowOff>
    </xdr:to>
    <xdr:sp macro="[0]!altura_minima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335715" y="370111"/>
          <a:ext cx="1476000" cy="228603"/>
        </a:xfrm>
        <a:prstGeom prst="rect">
          <a:avLst/>
        </a:prstGeom>
        <a:solidFill>
          <a:srgbClr val="FF6699"/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V.COMPACTA</a:t>
          </a:r>
        </a:p>
      </xdr:txBody>
    </xdr:sp>
    <xdr:clientData/>
  </xdr:twoCellAnchor>
  <xdr:oneCellAnchor>
    <xdr:from>
      <xdr:col>6</xdr:col>
      <xdr:colOff>40820</xdr:colOff>
      <xdr:row>0</xdr:row>
      <xdr:rowOff>88866</xdr:rowOff>
    </xdr:from>
    <xdr:ext cx="900000" cy="500906"/>
    <xdr:sp macro="[0]!fitro_limpiar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402284" y="88866"/>
          <a:ext cx="900000" cy="500906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>
          <a:noAutofit/>
        </a:bodyPr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QUITAR FILTROS</a:t>
          </a:r>
        </a:p>
      </xdr:txBody>
    </xdr:sp>
    <xdr:clientData/>
  </xdr:oneCellAnchor>
  <xdr:twoCellAnchor>
    <xdr:from>
      <xdr:col>7</xdr:col>
      <xdr:colOff>707571</xdr:colOff>
      <xdr:row>0</xdr:row>
      <xdr:rowOff>353785</xdr:rowOff>
    </xdr:from>
    <xdr:to>
      <xdr:col>7</xdr:col>
      <xdr:colOff>1074964</xdr:colOff>
      <xdr:row>0</xdr:row>
      <xdr:rowOff>616403</xdr:rowOff>
    </xdr:to>
    <xdr:sp macro="" textlink="">
      <xdr:nvSpPr>
        <xdr:cNvPr id="2" name="1 Flecha derech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7714" y="353785"/>
          <a:ext cx="367393" cy="262618"/>
        </a:xfrm>
        <a:prstGeom prst="rightArrow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1738086</xdr:colOff>
      <xdr:row>0</xdr:row>
      <xdr:rowOff>356507</xdr:rowOff>
    </xdr:from>
    <xdr:to>
      <xdr:col>7</xdr:col>
      <xdr:colOff>2105479</xdr:colOff>
      <xdr:row>0</xdr:row>
      <xdr:rowOff>619125</xdr:rowOff>
    </xdr:to>
    <xdr:sp macro="" textlink="">
      <xdr:nvSpPr>
        <xdr:cNvPr id="15" name="14 Flecha derech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0052050" y="356507"/>
          <a:ext cx="367393" cy="262618"/>
        </a:xfrm>
        <a:prstGeom prst="rightArrow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169636</xdr:colOff>
      <xdr:row>0</xdr:row>
      <xdr:rowOff>353785</xdr:rowOff>
    </xdr:from>
    <xdr:to>
      <xdr:col>8</xdr:col>
      <xdr:colOff>537029</xdr:colOff>
      <xdr:row>0</xdr:row>
      <xdr:rowOff>616403</xdr:rowOff>
    </xdr:to>
    <xdr:sp macro="" textlink="">
      <xdr:nvSpPr>
        <xdr:cNvPr id="16" name="15 Flecha derecha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1082565" y="353785"/>
          <a:ext cx="367393" cy="262618"/>
        </a:xfrm>
        <a:prstGeom prst="rightArrow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1200150</xdr:colOff>
      <xdr:row>0</xdr:row>
      <xdr:rowOff>356506</xdr:rowOff>
    </xdr:from>
    <xdr:to>
      <xdr:col>9</xdr:col>
      <xdr:colOff>274864</xdr:colOff>
      <xdr:row>0</xdr:row>
      <xdr:rowOff>619124</xdr:rowOff>
    </xdr:to>
    <xdr:sp macro="" textlink="">
      <xdr:nvSpPr>
        <xdr:cNvPr id="17" name="16 Flecha derecha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765971" y="356506"/>
          <a:ext cx="367393" cy="262618"/>
        </a:xfrm>
        <a:prstGeom prst="rightArrow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43294</xdr:colOff>
      <xdr:row>0</xdr:row>
      <xdr:rowOff>84361</xdr:rowOff>
    </xdr:from>
    <xdr:to>
      <xdr:col>2</xdr:col>
      <xdr:colOff>1699294</xdr:colOff>
      <xdr:row>0</xdr:row>
      <xdr:rowOff>312964</xdr:rowOff>
    </xdr:to>
    <xdr:sp macro="[0]!filtro_ordenar_criticidad" textlink="">
      <xdr:nvSpPr>
        <xdr:cNvPr id="20" name="19 Rectángulo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294" y="84361"/>
          <a:ext cx="1656000" cy="228603"/>
        </a:xfrm>
        <a:prstGeom prst="rect">
          <a:avLst/>
        </a:prstGeom>
        <a:solidFill>
          <a:srgbClr val="00B050"/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s-ES" sz="1600" b="1">
              <a:solidFill>
                <a:schemeClr val="bg1"/>
              </a:solidFill>
              <a:latin typeface="+mn-lt"/>
              <a:ea typeface="+mn-ea"/>
              <a:cs typeface="+mn-cs"/>
            </a:rPr>
            <a:t>ORDEN CRITICIDAD</a:t>
          </a:r>
        </a:p>
      </xdr:txBody>
    </xdr:sp>
    <xdr:clientData/>
  </xdr:twoCellAnchor>
  <xdr:twoCellAnchor>
    <xdr:from>
      <xdr:col>2</xdr:col>
      <xdr:colOff>43294</xdr:colOff>
      <xdr:row>0</xdr:row>
      <xdr:rowOff>370111</xdr:rowOff>
    </xdr:from>
    <xdr:to>
      <xdr:col>2</xdr:col>
      <xdr:colOff>1699294</xdr:colOff>
      <xdr:row>0</xdr:row>
      <xdr:rowOff>598714</xdr:rowOff>
    </xdr:to>
    <xdr:sp macro="[0]!filtro_ordenar_funcion" textlink="">
      <xdr:nvSpPr>
        <xdr:cNvPr id="21" name="20 Rectángul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3294" y="370111"/>
          <a:ext cx="1656000" cy="228603"/>
        </a:xfrm>
        <a:prstGeom prst="rect">
          <a:avLst/>
        </a:prstGeom>
        <a:solidFill>
          <a:srgbClr val="92D050"/>
        </a:solidFill>
        <a:ln w="3175">
          <a:solidFill>
            <a:schemeClr val="bg1">
              <a:lumMod val="8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s-ES" sz="1600" b="1">
              <a:solidFill>
                <a:schemeClr val="tx1"/>
              </a:solidFill>
              <a:latin typeface="+mn-lt"/>
              <a:ea typeface="+mn-ea"/>
              <a:cs typeface="+mn-cs"/>
            </a:rPr>
            <a:t>ORDEN FUNCIÓN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56b857d1369893d4/045%20-%20HRE/2017/PCN/01.%20Inicio%20de%20Proyecto%5eJ%20BIA%5eJ%20AR%5eJ%20ALL/Cuestionarios%20BIA/06.%20HRE-Sareb_BIA_Haya%20Property%20Management_v2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Introducción PCN"/>
      <sheetName val="1.RESPONSABLE"/>
      <sheetName val="2a.FUNCIONES"/>
      <sheetName val="2b.FUNCIONES EN CONTINGENCIA"/>
      <sheetName val="3.IMPACTO"/>
      <sheetName val="4.DEPENDENCIAS"/>
      <sheetName val="5.PROVEEDORES"/>
      <sheetName val="6.PERSONAL NECESARIO"/>
      <sheetName val="7.S.N_SISTEMAS INFOR."/>
      <sheetName val="8.S.N_Equipamiento"/>
      <sheetName val="9.S.N_Datos y Ficheros"/>
      <sheetName val="10.S.N_Registros Vitales"/>
      <sheetName val="Modelo"/>
      <sheetName val="11.OtrosRequerimientos.SC."/>
      <sheetName val="12.Otros Aspectos a Considerar"/>
      <sheetName val="COMB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2">
          <cell r="A2" t="str">
            <v>Seleccione un número</v>
          </cell>
          <cell r="M2" t="str">
            <v>Seleccione un SC</v>
          </cell>
        </row>
        <row r="3">
          <cell r="M3" t="str">
            <v>Todos SC</v>
          </cell>
        </row>
        <row r="4">
          <cell r="M4" t="str">
            <v>SC.1</v>
          </cell>
        </row>
        <row r="5">
          <cell r="M5" t="str">
            <v>SC.2</v>
          </cell>
        </row>
        <row r="6">
          <cell r="M6" t="str">
            <v>SC.3</v>
          </cell>
        </row>
        <row r="7">
          <cell r="M7" t="str">
            <v>SC.4</v>
          </cell>
        </row>
        <row r="8">
          <cell r="M8" t="str">
            <v>SC.5</v>
          </cell>
        </row>
        <row r="9">
          <cell r="M9" t="str">
            <v>SC.6</v>
          </cell>
        </row>
        <row r="10">
          <cell r="M10" t="str">
            <v>SC.7</v>
          </cell>
        </row>
        <row r="11">
          <cell r="M11" t="str">
            <v>SC.8</v>
          </cell>
        </row>
        <row r="12">
          <cell r="M12" t="str">
            <v>SC.9</v>
          </cell>
        </row>
        <row r="13">
          <cell r="M13" t="str">
            <v>SC.10</v>
          </cell>
        </row>
        <row r="14">
          <cell r="M14" t="str">
            <v>SC.11</v>
          </cell>
        </row>
        <row r="15">
          <cell r="M15" t="str">
            <v>SC.12</v>
          </cell>
        </row>
        <row r="16">
          <cell r="M16" t="str">
            <v>SC.13</v>
          </cell>
        </row>
        <row r="17">
          <cell r="M17" t="str">
            <v>SC.14</v>
          </cell>
        </row>
        <row r="18">
          <cell r="M18" t="str">
            <v>SC.15</v>
          </cell>
        </row>
        <row r="19">
          <cell r="M19" t="str">
            <v>SC.16</v>
          </cell>
        </row>
        <row r="20">
          <cell r="M20" t="str">
            <v>SC.17</v>
          </cell>
        </row>
        <row r="21">
          <cell r="M21" t="str">
            <v>SC.18</v>
          </cell>
        </row>
        <row r="22">
          <cell r="M22" t="str">
            <v>SC.19</v>
          </cell>
        </row>
        <row r="23">
          <cell r="M23" t="str">
            <v>SC.20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340A6-D62C-45F8-A458-8FFC524BAA56}">
  <sheetPr codeName="Hoja2">
    <pageSetUpPr fitToPage="1"/>
  </sheetPr>
  <dimension ref="B1:L24"/>
  <sheetViews>
    <sheetView topLeftCell="A10" zoomScale="70" zoomScaleNormal="70" zoomScaleSheetLayoutView="55" workbookViewId="0">
      <selection activeCell="E18" sqref="E18"/>
    </sheetView>
  </sheetViews>
  <sheetFormatPr baseColWidth="10" defaultColWidth="22" defaultRowHeight="18.5" x14ac:dyDescent="0.45"/>
  <cols>
    <col min="1" max="1" width="1.08984375" style="60" customWidth="1"/>
    <col min="2" max="2" width="4.08984375" style="60" customWidth="1"/>
    <col min="3" max="3" width="20.81640625" style="60" customWidth="1"/>
    <col min="4" max="6" width="20.36328125" style="60" customWidth="1"/>
    <col min="7" max="7" width="16.08984375" style="60" customWidth="1"/>
    <col min="8" max="8" width="20.81640625" style="60" customWidth="1"/>
    <col min="9" max="11" width="20.36328125" style="60" customWidth="1"/>
    <col min="12" max="12" width="4.08984375" style="60" customWidth="1"/>
    <col min="13" max="16384" width="22" style="60"/>
  </cols>
  <sheetData>
    <row r="1" spans="2:12" ht="7.5" customHeight="1" thickBot="1" x14ac:dyDescent="0.5"/>
    <row r="2" spans="2:12" ht="19" thickTop="1" x14ac:dyDescent="0.45">
      <c r="B2" s="61"/>
      <c r="C2" s="62"/>
      <c r="D2" s="62"/>
      <c r="E2" s="62"/>
      <c r="F2" s="62"/>
      <c r="G2" s="62"/>
      <c r="H2" s="62"/>
      <c r="I2" s="62"/>
      <c r="J2" s="62"/>
      <c r="K2" s="62"/>
      <c r="L2" s="63"/>
    </row>
    <row r="3" spans="2:12" x14ac:dyDescent="0.45">
      <c r="B3" s="64"/>
      <c r="L3" s="65"/>
    </row>
    <row r="4" spans="2:12" x14ac:dyDescent="0.45">
      <c r="B4" s="64"/>
      <c r="L4" s="65"/>
    </row>
    <row r="5" spans="2:12" x14ac:dyDescent="0.45">
      <c r="B5" s="64"/>
      <c r="L5" s="65"/>
    </row>
    <row r="6" spans="2:12" x14ac:dyDescent="0.45">
      <c r="B6" s="64"/>
      <c r="L6" s="65"/>
    </row>
    <row r="7" spans="2:12" s="68" customFormat="1" ht="60.75" customHeight="1" x14ac:dyDescent="0.35">
      <c r="B7" s="66"/>
      <c r="C7" s="87" t="s">
        <v>295</v>
      </c>
      <c r="D7" s="87"/>
      <c r="E7" s="87"/>
      <c r="F7" s="87"/>
      <c r="G7" s="87"/>
      <c r="H7" s="87"/>
      <c r="I7" s="87"/>
      <c r="J7" s="87"/>
      <c r="K7" s="87"/>
      <c r="L7" s="67"/>
    </row>
    <row r="8" spans="2:12" s="68" customFormat="1" ht="17.25" customHeight="1" x14ac:dyDescent="0.35">
      <c r="B8" s="66"/>
      <c r="C8" s="87"/>
      <c r="D8" s="87"/>
      <c r="E8" s="87"/>
      <c r="F8" s="87"/>
      <c r="G8" s="87"/>
      <c r="H8" s="87"/>
      <c r="I8" s="87"/>
      <c r="J8" s="87"/>
      <c r="K8" s="87"/>
      <c r="L8" s="67"/>
    </row>
    <row r="9" spans="2:12" x14ac:dyDescent="0.45">
      <c r="B9" s="64"/>
      <c r="L9" s="65"/>
    </row>
    <row r="10" spans="2:12" x14ac:dyDescent="0.45">
      <c r="B10" s="64"/>
      <c r="C10" s="69"/>
      <c r="D10" s="69"/>
      <c r="E10" s="69"/>
      <c r="F10" s="69"/>
      <c r="G10" s="69"/>
      <c r="H10" s="69"/>
      <c r="I10" s="69"/>
      <c r="J10" s="69"/>
      <c r="K10" s="69"/>
      <c r="L10" s="65"/>
    </row>
    <row r="11" spans="2:12" x14ac:dyDescent="0.45">
      <c r="B11" s="64"/>
      <c r="C11" s="88" t="s">
        <v>294</v>
      </c>
      <c r="D11" s="88"/>
      <c r="E11" s="88"/>
      <c r="F11" s="88"/>
      <c r="G11" s="88"/>
      <c r="H11" s="88"/>
      <c r="I11" s="88"/>
      <c r="J11" s="88"/>
      <c r="K11" s="88"/>
      <c r="L11" s="65"/>
    </row>
    <row r="12" spans="2:12" ht="37.5" customHeight="1" x14ac:dyDescent="0.45">
      <c r="B12" s="64"/>
      <c r="C12" s="89"/>
      <c r="D12" s="89"/>
      <c r="E12" s="89"/>
      <c r="F12" s="89"/>
      <c r="G12" s="89"/>
      <c r="H12" s="89"/>
      <c r="I12" s="89"/>
      <c r="J12" s="89"/>
      <c r="K12" s="89"/>
      <c r="L12" s="70"/>
    </row>
    <row r="13" spans="2:12" ht="11.25" customHeight="1" x14ac:dyDescent="0.45">
      <c r="B13" s="64"/>
      <c r="C13" s="69"/>
      <c r="D13" s="69"/>
      <c r="E13" s="69"/>
      <c r="F13" s="69"/>
      <c r="G13" s="69"/>
      <c r="H13" s="69"/>
      <c r="I13" s="69"/>
      <c r="J13" s="69"/>
      <c r="K13" s="69"/>
      <c r="L13" s="65"/>
    </row>
    <row r="14" spans="2:12" ht="11.25" customHeight="1" x14ac:dyDescent="0.45">
      <c r="B14" s="64"/>
      <c r="C14" s="69"/>
      <c r="D14" s="69"/>
      <c r="E14" s="69"/>
      <c r="F14" s="69"/>
      <c r="G14" s="69"/>
      <c r="H14" s="69"/>
      <c r="I14" s="69"/>
      <c r="J14" s="69"/>
      <c r="K14" s="69"/>
      <c r="L14" s="65"/>
    </row>
    <row r="15" spans="2:12" ht="11.25" customHeight="1" x14ac:dyDescent="0.45">
      <c r="B15" s="64"/>
      <c r="L15" s="65"/>
    </row>
    <row r="16" spans="2:12" ht="31.5" customHeight="1" x14ac:dyDescent="0.45">
      <c r="B16" s="64"/>
      <c r="D16" s="71" t="s">
        <v>284</v>
      </c>
      <c r="E16" s="72" t="str">
        <f ca="1">MID(CELL("nombrearchivo",I28),SEARCH("[",CELL("nombrearchivo",I28))+1,SEARCH("]",CELL("nombrearchivo",I28))-SEARCH("[",CELL("nombrearchivo",I28))-1)</f>
        <v>00. HRE_PCT_ALL_Árbol de Llamadas 2019_v0.97.xlsm</v>
      </c>
      <c r="F16" s="73"/>
      <c r="G16" s="73"/>
      <c r="H16" s="74"/>
      <c r="I16" s="72"/>
      <c r="J16" s="75"/>
      <c r="K16" s="75"/>
      <c r="L16" s="65"/>
    </row>
    <row r="17" spans="2:12" ht="31.5" customHeight="1" x14ac:dyDescent="0.45">
      <c r="B17" s="64"/>
      <c r="D17" s="76" t="s">
        <v>285</v>
      </c>
      <c r="E17" s="77">
        <v>43543</v>
      </c>
      <c r="F17" s="73"/>
      <c r="G17" s="73"/>
      <c r="H17" s="71"/>
      <c r="I17" s="78"/>
      <c r="J17" s="75"/>
      <c r="K17" s="75"/>
      <c r="L17" s="65"/>
    </row>
    <row r="18" spans="2:12" ht="31.5" customHeight="1" x14ac:dyDescent="0.45">
      <c r="B18" s="64"/>
      <c r="D18" s="71" t="s">
        <v>286</v>
      </c>
      <c r="E18" s="72" t="s">
        <v>287</v>
      </c>
      <c r="F18" s="73"/>
      <c r="G18" s="73"/>
      <c r="H18" s="71"/>
      <c r="I18" s="78"/>
      <c r="J18" s="75"/>
      <c r="K18" s="75"/>
      <c r="L18" s="65"/>
    </row>
    <row r="19" spans="2:12" ht="31.5" customHeight="1" x14ac:dyDescent="0.45">
      <c r="B19" s="64"/>
      <c r="D19" s="71" t="s">
        <v>288</v>
      </c>
      <c r="E19" s="72" t="s">
        <v>296</v>
      </c>
      <c r="F19" s="73"/>
      <c r="G19" s="73"/>
      <c r="H19" s="71"/>
      <c r="I19" s="78"/>
      <c r="J19" s="75"/>
      <c r="K19" s="75"/>
      <c r="L19" s="65"/>
    </row>
    <row r="20" spans="2:12" ht="31.5" customHeight="1" x14ac:dyDescent="0.45">
      <c r="B20" s="64"/>
      <c r="D20" s="71" t="s">
        <v>289</v>
      </c>
      <c r="E20" s="72" t="s">
        <v>290</v>
      </c>
      <c r="F20" s="73"/>
      <c r="G20" s="73"/>
      <c r="H20" s="71"/>
      <c r="I20" s="78"/>
      <c r="J20" s="75"/>
      <c r="K20" s="75"/>
      <c r="L20" s="65"/>
    </row>
    <row r="21" spans="2:12" ht="31.5" customHeight="1" x14ac:dyDescent="0.45">
      <c r="B21" s="64"/>
      <c r="D21" s="71" t="s">
        <v>291</v>
      </c>
      <c r="E21" s="72" t="s">
        <v>287</v>
      </c>
      <c r="F21" s="73"/>
      <c r="G21" s="73"/>
      <c r="H21" s="71"/>
      <c r="I21" s="78"/>
      <c r="J21" s="75"/>
      <c r="K21" s="75"/>
      <c r="L21" s="65"/>
    </row>
    <row r="22" spans="2:12" ht="31.5" customHeight="1" x14ac:dyDescent="0.45">
      <c r="B22" s="64"/>
      <c r="D22" s="71" t="s">
        <v>292</v>
      </c>
      <c r="E22" s="72" t="s">
        <v>293</v>
      </c>
      <c r="F22" s="73"/>
      <c r="G22" s="73"/>
      <c r="H22" s="78"/>
      <c r="I22" s="78"/>
      <c r="J22" s="78"/>
      <c r="K22" s="78"/>
      <c r="L22" s="65"/>
    </row>
    <row r="23" spans="2:12" ht="19" thickBot="1" x14ac:dyDescent="0.5">
      <c r="B23" s="79"/>
      <c r="C23" s="80"/>
      <c r="D23" s="80"/>
      <c r="E23" s="80"/>
      <c r="F23" s="80"/>
      <c r="G23" s="80"/>
      <c r="H23" s="80"/>
      <c r="I23" s="80"/>
      <c r="J23" s="80"/>
      <c r="K23" s="80"/>
      <c r="L23" s="81"/>
    </row>
    <row r="24" spans="2:12" ht="19" thickTop="1" x14ac:dyDescent="0.45"/>
  </sheetData>
  <mergeCells count="2">
    <mergeCell ref="C7:K8"/>
    <mergeCell ref="C11:K12"/>
  </mergeCells>
  <pageMargins left="0.27559055118110237" right="0.27559055118110237" top="0.39370078740157483" bottom="0.27559055118110237" header="0.31496062992125984" footer="0.15748031496062992"/>
  <pageSetup paperSize="9" scale="75" orientation="landscape" r:id="rId1"/>
  <headerFooter>
    <oddFooter>&amp;L&amp;D ; &amp;T&amp;C&amp;P de &amp;N&amp;R&amp;F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D32"/>
  <sheetViews>
    <sheetView showGridLines="0" tabSelected="1" zoomScale="55" zoomScaleNormal="55" zoomScaleSheetLayoutView="55" zoomScalePageLayoutView="70" workbookViewId="0">
      <pane xSplit="9" ySplit="2" topLeftCell="J3" activePane="bottomRight" state="frozen"/>
      <selection pane="topRight" activeCell="I1" sqref="I1"/>
      <selection pane="bottomLeft" activeCell="A3" sqref="A3"/>
      <selection pane="bottomRight" activeCell="H5" sqref="H5"/>
    </sheetView>
  </sheetViews>
  <sheetFormatPr baseColWidth="10" defaultColWidth="11.26953125" defaultRowHeight="15.5" x14ac:dyDescent="0.35"/>
  <cols>
    <col min="1" max="1" width="31" style="5" hidden="1" customWidth="1"/>
    <col min="2" max="2" width="28.81640625" style="5" hidden="1" customWidth="1"/>
    <col min="3" max="3" width="25.08984375" style="5" customWidth="1"/>
    <col min="4" max="4" width="44.6328125" style="17" customWidth="1"/>
    <col min="5" max="5" width="20.08984375" style="17" customWidth="1"/>
    <col min="6" max="6" width="9.6328125" style="17" customWidth="1"/>
    <col min="7" max="7" width="15.36328125" style="17" bestFit="1" customWidth="1"/>
    <col min="8" max="8" width="39" style="17" bestFit="1" customWidth="1"/>
    <col min="9" max="9" width="26.81640625" style="17" bestFit="1" customWidth="1"/>
    <col min="10" max="10" width="20.36328125" style="17" customWidth="1"/>
    <col min="11" max="11" width="14.81640625" style="17" customWidth="1"/>
    <col min="12" max="12" width="26.08984375" style="17" customWidth="1"/>
    <col min="13" max="13" width="12" style="17" customWidth="1"/>
    <col min="14" max="14" width="20.6328125" style="17" customWidth="1"/>
    <col min="15" max="15" width="12.08984375" style="18" customWidth="1"/>
    <col min="16" max="16" width="12.08984375" style="5" customWidth="1"/>
    <col min="17" max="17" width="12.08984375" style="19" customWidth="1"/>
    <col min="18" max="18" width="13.6328125" style="5" customWidth="1"/>
    <col min="19" max="19" width="13.08984375" style="5" bestFit="1" customWidth="1"/>
    <col min="20" max="20" width="13.6328125" style="5" bestFit="1" customWidth="1"/>
    <col min="21" max="21" width="26.26953125" style="5" bestFit="1" customWidth="1"/>
    <col min="22" max="22" width="12.08984375" style="5" bestFit="1" customWidth="1"/>
    <col min="23" max="23" width="11.36328125" style="5" bestFit="1" customWidth="1"/>
    <col min="24" max="24" width="25.81640625" style="5" bestFit="1" customWidth="1"/>
    <col min="25" max="25" width="23.81640625" style="5" bestFit="1" customWidth="1"/>
    <col min="26" max="26" width="26.08984375" style="5" bestFit="1" customWidth="1"/>
    <col min="27" max="29" width="22.26953125" style="5" customWidth="1"/>
    <col min="30" max="30" width="23" style="5" bestFit="1" customWidth="1"/>
    <col min="31" max="16384" width="11.26953125" style="5"/>
  </cols>
  <sheetData>
    <row r="1" spans="1:30" ht="51" customHeight="1" x14ac:dyDescent="0.35">
      <c r="A1" s="1"/>
      <c r="B1" s="1"/>
      <c r="C1" s="2"/>
      <c r="D1" s="3" t="s">
        <v>0</v>
      </c>
      <c r="E1" s="2"/>
      <c r="F1" s="2"/>
      <c r="G1" s="2"/>
      <c r="H1" s="4"/>
      <c r="I1" s="4"/>
      <c r="J1" s="4"/>
      <c r="K1" s="91" t="s">
        <v>307</v>
      </c>
      <c r="L1" s="92"/>
      <c r="M1" s="91"/>
      <c r="N1" s="91"/>
      <c r="O1" s="91"/>
      <c r="P1" s="91"/>
      <c r="Q1" s="91"/>
      <c r="R1" s="91"/>
      <c r="S1" s="91"/>
      <c r="T1" s="90" t="s">
        <v>1</v>
      </c>
      <c r="U1" s="90"/>
      <c r="V1" s="90"/>
      <c r="W1" s="90"/>
      <c r="X1" s="90"/>
      <c r="Y1" s="90"/>
      <c r="Z1" s="90"/>
      <c r="AA1" s="93" t="s">
        <v>309</v>
      </c>
      <c r="AB1" s="93"/>
      <c r="AC1" s="93"/>
      <c r="AD1" s="94"/>
    </row>
    <row r="2" spans="1:30" ht="33.75" customHeight="1" x14ac:dyDescent="0.35">
      <c r="A2" s="6" t="s">
        <v>2</v>
      </c>
      <c r="B2" s="6" t="s">
        <v>3</v>
      </c>
      <c r="C2" s="7" t="s">
        <v>4</v>
      </c>
      <c r="D2" s="6" t="s">
        <v>5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6" t="s">
        <v>13</v>
      </c>
      <c r="M2" s="6" t="s">
        <v>14</v>
      </c>
      <c r="N2" s="6" t="s">
        <v>15</v>
      </c>
      <c r="O2" s="8" t="s">
        <v>16</v>
      </c>
      <c r="P2" s="8" t="s">
        <v>4</v>
      </c>
      <c r="Q2" s="8" t="s">
        <v>17</v>
      </c>
      <c r="R2" s="8" t="s">
        <v>18</v>
      </c>
      <c r="S2" s="8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11" t="s">
        <v>253</v>
      </c>
      <c r="AB2" s="10" t="s">
        <v>254</v>
      </c>
      <c r="AC2" s="11" t="s">
        <v>255</v>
      </c>
      <c r="AD2" s="83" t="s">
        <v>308</v>
      </c>
    </row>
    <row r="3" spans="1:30" ht="81" customHeight="1" x14ac:dyDescent="0.35">
      <c r="A3" s="12" t="str">
        <f t="shared" ref="A3:A30" si="0">IF(MID(C3,1,2)&lt;=9,0&amp;MID(C3,1,2),MID(C3,1,2))&amp;"."&amp;VLOOKUP(G3,ORDEN,2,FALSE)&amp;MID(E3,1,1)&amp;"."&amp;IF(G3="RESP","00",MID(D3,1,2))&amp;"."&amp;IF(D3&lt;&gt;D2,IF(MID(B2,LEN(B2),1)="0",1,0),MID(B2,LEN(B2),1))</f>
        <v>01.010.00.0</v>
      </c>
      <c r="B3" s="12" t="str">
        <f t="shared" ref="B3:B30" si="1">IF(MID(C3,1,2)&lt;=9,0&amp;MID(C3,1,2),MID(C3,1,2))&amp;"."&amp;IF(G3="RESP","00",MID(D3,1,2))&amp;"."&amp;VLOOKUP(G3,ORDEN,2,FALSE)&amp;MID(E3,1,1)&amp;"."&amp;IF(D3&lt;&gt;D2,IF(MID(B2,LEN(B2),1)="0",1,0),MID(B2,LEN(B2),1))</f>
        <v>01.00.010.0</v>
      </c>
      <c r="C3" s="12" t="s">
        <v>299</v>
      </c>
      <c r="D3" s="13" t="s">
        <v>304</v>
      </c>
      <c r="E3" s="13" t="s">
        <v>304</v>
      </c>
      <c r="F3" s="13">
        <v>3565</v>
      </c>
      <c r="G3" s="13" t="s">
        <v>297</v>
      </c>
      <c r="H3" s="13" t="str">
        <f t="shared" ref="H3:H30" si="2">VLOOKUP(F3,EMPLEADOS,16,FALSE)</f>
        <v>Oscar Dominguez Lopez</v>
      </c>
      <c r="I3" s="12"/>
      <c r="J3" s="13" t="str">
        <f t="shared" ref="J3:J30" si="3">VLOOKUP(F3,EMPLEADOS,11,FALSE)&amp;" - "&amp;VLOOKUP(F3,EMPLEADOS,13,FALSE)</f>
        <v xml:space="preserve"> - 689426605</v>
      </c>
      <c r="K3" s="13"/>
      <c r="L3" s="13" t="str">
        <f t="shared" ref="L3:L30" si="4">VLOOKUP(F3,EMPLEADOS,15,FALSE)</f>
        <v>odominguez@haya.es</v>
      </c>
      <c r="M3" s="14" t="str">
        <f t="shared" ref="M3:M30" si="5">VLOOKUP(N3,EDIFICIOS,2,FALSE)</f>
        <v>MAD01</v>
      </c>
      <c r="N3" s="13" t="str">
        <f t="shared" ref="N3:N30" si="6">VLOOKUP(F3,EMPLEADOS,23,FALSE)</f>
        <v>Calle Medina de Pomar 27; 28042 Madrid</v>
      </c>
      <c r="O3" s="12"/>
      <c r="P3" s="12" t="str">
        <f t="shared" ref="P3:P30" si="7">PROPER((VLOOKUP(F3,EMPLEADOS,8,FALSE)))</f>
        <v>Portatil</v>
      </c>
      <c r="Q3" s="14" t="str">
        <f t="shared" ref="Q3:Q30" si="8">IF((VLOOKUP(F3,EMPLEADOS,13,FALSE))="","No","Sí")</f>
        <v>Sí</v>
      </c>
      <c r="R3" s="12" t="str">
        <f t="shared" ref="R3:R30" si="9">PROPER((VLOOKUP(F3,EMPLEADOS,10,FALSE)))</f>
        <v>Sí</v>
      </c>
      <c r="S3" s="14" t="str">
        <f t="shared" ref="S3:S30" si="10">PROPER(VLOOKUP(N3,EDIFICIOS,3,FALSE))</f>
        <v>Madrid</v>
      </c>
      <c r="T3" s="14"/>
      <c r="U3" s="14"/>
      <c r="V3" s="12"/>
      <c r="W3" s="12"/>
      <c r="X3" s="14"/>
      <c r="Y3" s="12"/>
      <c r="Z3" s="15"/>
      <c r="AA3" s="16">
        <f>IF(OR($G3="RESP",$G3="CAN",$G3="BCAN",$G3="Ext. HRE"),"-",COUNTIFS(PRUEBAS_PARTICIPANTES,H3,PRUEBAS_NOMBRE,'Call Tree HRE 2018'!AA$2))</f>
        <v>0</v>
      </c>
      <c r="AB3" s="16">
        <f>IF(OR($G3="RESP",$G3="CAN",$G3="BCAN",$G3="Ext. HRE"),"-",COUNTIFS(PRUEBAS_PARTICIPANTES,H3,PRUEBAS_NOMBRE,'Call Tree HRE 2018'!AB$2))</f>
        <v>0</v>
      </c>
      <c r="AC3" s="16">
        <f>IF(OR($G3="RESP",$G3="CAN",$G3="BCAN",$G3="Ext. HRE"),"-",COUNTIFS(PRUEBAS_PARTICIPANTES,H3,PRUEBAS_NOMBRE,'Call Tree HRE 2018'!AC$2))</f>
        <v>0</v>
      </c>
      <c r="AD3" s="14" t="str">
        <f t="shared" ref="AD3:AD30" si="11">IF(OR($G3="RESP",$G3="CAN",$G3="BCAN",$G3="Ext. HRE"),"No procede",IF(SUM(AA3:AC3)=0,"No","Sí"))</f>
        <v>No</v>
      </c>
    </row>
    <row r="4" spans="1:30" ht="96" customHeight="1" x14ac:dyDescent="0.35">
      <c r="A4" s="12" t="str">
        <f t="shared" si="0"/>
        <v>01.020.00.1</v>
      </c>
      <c r="B4" s="12" t="str">
        <f t="shared" si="1"/>
        <v>01.00.020.1</v>
      </c>
      <c r="C4" s="12" t="s">
        <v>299</v>
      </c>
      <c r="D4" s="13" t="s">
        <v>305</v>
      </c>
      <c r="E4" s="13" t="s">
        <v>305</v>
      </c>
      <c r="F4" s="13">
        <v>2629</v>
      </c>
      <c r="G4" s="13" t="s">
        <v>298</v>
      </c>
      <c r="H4" s="13" t="str">
        <f t="shared" si="2"/>
        <v>Ivan Santiago Viñambres</v>
      </c>
      <c r="I4" s="12"/>
      <c r="J4" s="13" t="str">
        <f t="shared" si="3"/>
        <v xml:space="preserve"> - 689430442</v>
      </c>
      <c r="K4" s="13"/>
      <c r="L4" s="13" t="str">
        <f t="shared" si="4"/>
        <v>isantiago@haya.es</v>
      </c>
      <c r="M4" s="14" t="str">
        <f t="shared" si="5"/>
        <v>MAD01</v>
      </c>
      <c r="N4" s="13" t="str">
        <f t="shared" si="6"/>
        <v>Calle Medina de Pomar 27; 28042 Madrid</v>
      </c>
      <c r="O4" s="12"/>
      <c r="P4" s="12" t="str">
        <f t="shared" si="7"/>
        <v>Tablet</v>
      </c>
      <c r="Q4" s="14" t="str">
        <f t="shared" si="8"/>
        <v>Sí</v>
      </c>
      <c r="R4" s="12" t="str">
        <f t="shared" si="9"/>
        <v>Sí</v>
      </c>
      <c r="S4" s="14" t="str">
        <f t="shared" si="10"/>
        <v>Madrid</v>
      </c>
      <c r="T4" s="14"/>
      <c r="U4" s="14"/>
      <c r="V4" s="12"/>
      <c r="W4" s="12"/>
      <c r="X4" s="14"/>
      <c r="Y4" s="12"/>
      <c r="Z4" s="15"/>
      <c r="AA4" s="16">
        <f>IF(OR($G4="RESP",$G4="CAN",$G4="BCAN",$G4="Ext. HRE"),"-",COUNTIFS(PRUEBAS_PARTICIPANTES,H4,PRUEBAS_NOMBRE,'Call Tree HRE 2018'!AA$2))</f>
        <v>0</v>
      </c>
      <c r="AB4" s="16">
        <f>IF(OR($G4="RESP",$G4="CAN",$G4="BCAN",$G4="Ext. HRE"),"-",COUNTIFS(PRUEBAS_PARTICIPANTES,H4,PRUEBAS_NOMBRE,'Call Tree HRE 2018'!AB$2))</f>
        <v>0</v>
      </c>
      <c r="AC4" s="16">
        <f>IF(OR($G4="RESP",$G4="CAN",$G4="BCAN",$G4="Ext. HRE"),"-",COUNTIFS(PRUEBAS_PARTICIPANTES,H4,PRUEBAS_NOMBRE,'Call Tree HRE 2018'!AC$2))</f>
        <v>0</v>
      </c>
      <c r="AD4" s="14" t="str">
        <f t="shared" si="11"/>
        <v>No</v>
      </c>
    </row>
    <row r="5" spans="1:30" ht="77.5" x14ac:dyDescent="0.35">
      <c r="A5" s="12" t="str">
        <f t="shared" si="0"/>
        <v>01.050.01.0</v>
      </c>
      <c r="B5" s="12" t="str">
        <f t="shared" si="1"/>
        <v>01.01.050.0</v>
      </c>
      <c r="C5" s="12" t="s">
        <v>299</v>
      </c>
      <c r="D5" s="13" t="s">
        <v>306</v>
      </c>
      <c r="E5" s="86" t="s">
        <v>359</v>
      </c>
      <c r="F5" s="13">
        <v>3660</v>
      </c>
      <c r="G5" s="13" t="s">
        <v>36</v>
      </c>
      <c r="H5" s="13" t="str">
        <f t="shared" si="2"/>
        <v>Javier Encinar Revilla</v>
      </c>
      <c r="I5" s="12"/>
      <c r="J5" s="13" t="str">
        <f t="shared" si="3"/>
        <v xml:space="preserve"> - 682204667</v>
      </c>
      <c r="K5" s="13"/>
      <c r="L5" s="13" t="str">
        <f t="shared" si="4"/>
        <v>jencinar@haya.es</v>
      </c>
      <c r="M5" s="14" t="str">
        <f t="shared" si="5"/>
        <v>MAD01</v>
      </c>
      <c r="N5" s="13" t="str">
        <f t="shared" si="6"/>
        <v>Calle Medina de Pomar 27; 28042 Madrid</v>
      </c>
      <c r="O5" s="12"/>
      <c r="P5" s="12" t="str">
        <f t="shared" si="7"/>
        <v>Portatil</v>
      </c>
      <c r="Q5" s="14" t="str">
        <f t="shared" si="8"/>
        <v>Sí</v>
      </c>
      <c r="R5" s="12" t="str">
        <f t="shared" si="9"/>
        <v>Sí</v>
      </c>
      <c r="S5" s="14" t="str">
        <f t="shared" si="10"/>
        <v>Madrid</v>
      </c>
      <c r="T5" s="14"/>
      <c r="U5" s="14"/>
      <c r="V5" s="12"/>
      <c r="W5" s="12"/>
      <c r="X5" s="14"/>
      <c r="Y5" s="12"/>
      <c r="Z5" s="15"/>
      <c r="AA5" s="16">
        <f>IF(OR($G5="RESP",$G5="CAN",$G5="BCAN",$G5="Ext. HRE"),"-",COUNTIFS(PRUEBAS_PARTICIPANTES,H5,PRUEBAS_NOMBRE,'Call Tree HRE 2018'!AA$2))</f>
        <v>0</v>
      </c>
      <c r="AB5" s="16">
        <f>IF(OR($G5="RESP",$G5="CAN",$G5="BCAN",$G5="Ext. HRE"),"-",COUNTIFS(PRUEBAS_PARTICIPANTES,H5,PRUEBAS_NOMBRE,'Call Tree HRE 2018'!AB$2))</f>
        <v>0</v>
      </c>
      <c r="AC5" s="16">
        <f>IF(OR($G5="RESP",$G5="CAN",$G5="BCAN",$G5="Ext. HRE"),"-",COUNTIFS(PRUEBAS_PARTICIPANTES,H5,PRUEBAS_NOMBRE,'Call Tree HRE 2018'!AC$2))</f>
        <v>0</v>
      </c>
      <c r="AD5" s="14" t="str">
        <f t="shared" si="11"/>
        <v>No</v>
      </c>
    </row>
    <row r="6" spans="1:30" ht="77.5" x14ac:dyDescent="0.35">
      <c r="A6" s="12" t="str">
        <f t="shared" si="0"/>
        <v>01.050.01.0</v>
      </c>
      <c r="B6" s="12" t="str">
        <f t="shared" si="1"/>
        <v>01.01.050.0</v>
      </c>
      <c r="C6" s="12" t="s">
        <v>299</v>
      </c>
      <c r="D6" s="13" t="s">
        <v>306</v>
      </c>
      <c r="E6" s="13" t="s">
        <v>359</v>
      </c>
      <c r="F6" s="13">
        <v>3659</v>
      </c>
      <c r="G6" s="13" t="s">
        <v>36</v>
      </c>
      <c r="H6" s="13" t="str">
        <f t="shared" si="2"/>
        <v>Francisco Javier Espejo Gonzalez</v>
      </c>
      <c r="I6" s="12"/>
      <c r="J6" s="13" t="str">
        <f t="shared" si="3"/>
        <v xml:space="preserve"> - 689958121</v>
      </c>
      <c r="K6" s="13"/>
      <c r="L6" s="13" t="str">
        <f t="shared" si="4"/>
        <v>fespejo@haya.es</v>
      </c>
      <c r="M6" s="14" t="str">
        <f t="shared" si="5"/>
        <v>MAD01</v>
      </c>
      <c r="N6" s="13" t="str">
        <f t="shared" si="6"/>
        <v>Calle Medina de Pomar 27; 28042 Madrid</v>
      </c>
      <c r="O6" s="12"/>
      <c r="P6" s="12" t="str">
        <f t="shared" si="7"/>
        <v>Portatil</v>
      </c>
      <c r="Q6" s="14" t="str">
        <f t="shared" si="8"/>
        <v>Sí</v>
      </c>
      <c r="R6" s="12" t="str">
        <f t="shared" si="9"/>
        <v>Sí</v>
      </c>
      <c r="S6" s="14" t="str">
        <f t="shared" si="10"/>
        <v>Madrid</v>
      </c>
      <c r="T6" s="14"/>
      <c r="U6" s="14"/>
      <c r="V6" s="12"/>
      <c r="W6" s="12"/>
      <c r="X6" s="14"/>
      <c r="Y6" s="12"/>
      <c r="Z6" s="15"/>
      <c r="AA6" s="16">
        <f>IF(OR($G6="RESP",$G6="CAN",$G6="BCAN",$G6="Ext. HRE"),"-",COUNTIFS(PRUEBAS_PARTICIPANTES,H6,PRUEBAS_NOMBRE,'Call Tree HRE 2018'!AA$2))</f>
        <v>0</v>
      </c>
      <c r="AB6" s="16">
        <f>IF(OR($G6="RESP",$G6="CAN",$G6="BCAN",$G6="Ext. HRE"),"-",COUNTIFS(PRUEBAS_PARTICIPANTES,H6,PRUEBAS_NOMBRE,'Call Tree HRE 2018'!AB$2))</f>
        <v>0</v>
      </c>
      <c r="AC6" s="16">
        <f>IF(OR($G6="RESP",$G6="CAN",$G6="BCAN",$G6="Ext. HRE"),"-",COUNTIFS(PRUEBAS_PARTICIPANTES,H6,PRUEBAS_NOMBRE,'Call Tree HRE 2018'!AC$2))</f>
        <v>0</v>
      </c>
      <c r="AD6" s="14" t="str">
        <f t="shared" si="11"/>
        <v>No</v>
      </c>
    </row>
    <row r="7" spans="1:30" ht="77.5" x14ac:dyDescent="0.35">
      <c r="A7" s="12" t="str">
        <f t="shared" si="0"/>
        <v>01.050.01.0</v>
      </c>
      <c r="B7" s="12" t="str">
        <f t="shared" si="1"/>
        <v>01.01.050.0</v>
      </c>
      <c r="C7" s="12" t="s">
        <v>299</v>
      </c>
      <c r="D7" s="13" t="s">
        <v>306</v>
      </c>
      <c r="E7" s="13" t="s">
        <v>359</v>
      </c>
      <c r="F7" s="13">
        <v>4814</v>
      </c>
      <c r="G7" s="13" t="s">
        <v>36</v>
      </c>
      <c r="H7" s="13" t="str">
        <f t="shared" si="2"/>
        <v>Inmaculada Lopez Espinosa</v>
      </c>
      <c r="I7" s="12"/>
      <c r="J7" s="13" t="str">
        <f t="shared" si="3"/>
        <v xml:space="preserve"> - 681201035</v>
      </c>
      <c r="K7" s="13"/>
      <c r="L7" s="13" t="str">
        <f t="shared" si="4"/>
        <v>ilopeze@haya.es</v>
      </c>
      <c r="M7" s="14" t="str">
        <f t="shared" si="5"/>
        <v>MAD01</v>
      </c>
      <c r="N7" s="13" t="str">
        <f t="shared" si="6"/>
        <v>Calle Medina de Pomar 27; 28042 Madrid</v>
      </c>
      <c r="O7" s="12"/>
      <c r="P7" s="12" t="str">
        <f t="shared" si="7"/>
        <v>Portatil</v>
      </c>
      <c r="Q7" s="14" t="str">
        <f t="shared" si="8"/>
        <v>Sí</v>
      </c>
      <c r="R7" s="12" t="str">
        <f t="shared" si="9"/>
        <v>Sí</v>
      </c>
      <c r="S7" s="14" t="str">
        <f t="shared" si="10"/>
        <v>Madrid</v>
      </c>
      <c r="T7" s="14"/>
      <c r="U7" s="14"/>
      <c r="V7" s="12"/>
      <c r="W7" s="12"/>
      <c r="X7" s="14"/>
      <c r="Y7" s="12"/>
      <c r="Z7" s="15"/>
      <c r="AA7" s="16">
        <f>IF(OR($G7="RESP",$G7="CAN",$G7="BCAN",$G7="Ext. HRE"),"-",COUNTIFS(PRUEBAS_PARTICIPANTES,H7,PRUEBAS_NOMBRE,'Call Tree HRE 2018'!AA$2))</f>
        <v>0</v>
      </c>
      <c r="AB7" s="16">
        <f>IF(OR($G7="RESP",$G7="CAN",$G7="BCAN",$G7="Ext. HRE"),"-",COUNTIFS(PRUEBAS_PARTICIPANTES,H7,PRUEBAS_NOMBRE,'Call Tree HRE 2018'!AB$2))</f>
        <v>0</v>
      </c>
      <c r="AC7" s="16">
        <f>IF(OR($G7="RESP",$G7="CAN",$G7="BCAN",$G7="Ext. HRE"),"-",COUNTIFS(PRUEBAS_PARTICIPANTES,H7,PRUEBAS_NOMBRE,'Call Tree HRE 2018'!AC$2))</f>
        <v>0</v>
      </c>
      <c r="AD7" s="14" t="str">
        <f t="shared" si="11"/>
        <v>No</v>
      </c>
    </row>
    <row r="8" spans="1:30" ht="77.5" x14ac:dyDescent="0.35">
      <c r="A8" s="12" t="str">
        <f t="shared" si="0"/>
        <v>01.050.01.0</v>
      </c>
      <c r="B8" s="12" t="str">
        <f t="shared" si="1"/>
        <v>01.01.050.0</v>
      </c>
      <c r="C8" s="12" t="s">
        <v>299</v>
      </c>
      <c r="D8" s="13" t="s">
        <v>306</v>
      </c>
      <c r="E8" s="13" t="s">
        <v>359</v>
      </c>
      <c r="F8" s="13">
        <v>5034</v>
      </c>
      <c r="G8" s="13" t="s">
        <v>36</v>
      </c>
      <c r="H8" s="13" t="str">
        <f t="shared" si="2"/>
        <v>Javier Gonzalez Valencia</v>
      </c>
      <c r="I8" s="12"/>
      <c r="J8" s="13" t="str">
        <f t="shared" si="3"/>
        <v xml:space="preserve"> - 669151172</v>
      </c>
      <c r="K8" s="13"/>
      <c r="L8" s="13" t="str">
        <f t="shared" si="4"/>
        <v>jgonzalezv@haya.es</v>
      </c>
      <c r="M8" s="14" t="str">
        <f t="shared" si="5"/>
        <v>MAD01</v>
      </c>
      <c r="N8" s="13" t="str">
        <f t="shared" si="6"/>
        <v>Calle Medina de Pomar 27; 28042 Madrid</v>
      </c>
      <c r="O8" s="12"/>
      <c r="P8" s="12" t="str">
        <f t="shared" si="7"/>
        <v>Portatil</v>
      </c>
      <c r="Q8" s="14" t="str">
        <f t="shared" si="8"/>
        <v>Sí</v>
      </c>
      <c r="R8" s="12" t="str">
        <f t="shared" si="9"/>
        <v>Sí</v>
      </c>
      <c r="S8" s="14" t="str">
        <f t="shared" si="10"/>
        <v>Madrid</v>
      </c>
      <c r="T8" s="14"/>
      <c r="U8" s="14"/>
      <c r="V8" s="12"/>
      <c r="W8" s="12"/>
      <c r="X8" s="14"/>
      <c r="Y8" s="12"/>
      <c r="Z8" s="15"/>
      <c r="AA8" s="16">
        <f>IF(OR($G8="RESP",$G8="CAN",$G8="BCAN",$G8="Ext. HRE"),"-",COUNTIFS(PRUEBAS_PARTICIPANTES,H8,PRUEBAS_NOMBRE,'Call Tree HRE 2018'!AA$2))</f>
        <v>0</v>
      </c>
      <c r="AB8" s="16">
        <f>IF(OR($G8="RESP",$G8="CAN",$G8="BCAN",$G8="Ext. HRE"),"-",COUNTIFS(PRUEBAS_PARTICIPANTES,H8,PRUEBAS_NOMBRE,'Call Tree HRE 2018'!AB$2))</f>
        <v>0</v>
      </c>
      <c r="AC8" s="16">
        <f>IF(OR($G8="RESP",$G8="CAN",$G8="BCAN",$G8="Ext. HRE"),"-",COUNTIFS(PRUEBAS_PARTICIPANTES,H8,PRUEBAS_NOMBRE,'Call Tree HRE 2018'!AC$2))</f>
        <v>0</v>
      </c>
      <c r="AD8" s="14" t="str">
        <f t="shared" si="11"/>
        <v>No</v>
      </c>
    </row>
    <row r="9" spans="1:30" ht="77.5" x14ac:dyDescent="0.35">
      <c r="A9" s="12" t="str">
        <f t="shared" si="0"/>
        <v>01.050.01.0</v>
      </c>
      <c r="B9" s="12" t="str">
        <f t="shared" si="1"/>
        <v>01.01.050.0</v>
      </c>
      <c r="C9" s="12" t="s">
        <v>299</v>
      </c>
      <c r="D9" s="13" t="s">
        <v>306</v>
      </c>
      <c r="E9" s="13" t="s">
        <v>359</v>
      </c>
      <c r="F9" s="13">
        <v>5923</v>
      </c>
      <c r="G9" s="13" t="s">
        <v>36</v>
      </c>
      <c r="H9" s="13" t="str">
        <f t="shared" si="2"/>
        <v>Maria Dolores Perea Clemente</v>
      </c>
      <c r="I9" s="12"/>
      <c r="J9" s="13" t="str">
        <f t="shared" si="3"/>
        <v xml:space="preserve"> - 686174859</v>
      </c>
      <c r="K9" s="13"/>
      <c r="L9" s="13" t="str">
        <f t="shared" si="4"/>
        <v>mperea@haya.es</v>
      </c>
      <c r="M9" s="14" t="str">
        <f t="shared" si="5"/>
        <v>MAD01</v>
      </c>
      <c r="N9" s="13" t="str">
        <f t="shared" si="6"/>
        <v>Calle Medina de Pomar 27; 28042 Madrid</v>
      </c>
      <c r="O9" s="12"/>
      <c r="P9" s="12" t="str">
        <f t="shared" si="7"/>
        <v>Portatil</v>
      </c>
      <c r="Q9" s="14" t="str">
        <f t="shared" si="8"/>
        <v>Sí</v>
      </c>
      <c r="R9" s="12" t="str">
        <f t="shared" si="9"/>
        <v>Sí</v>
      </c>
      <c r="S9" s="14" t="str">
        <f t="shared" si="10"/>
        <v>Madrid</v>
      </c>
      <c r="T9" s="14"/>
      <c r="U9" s="14"/>
      <c r="V9" s="12"/>
      <c r="W9" s="12"/>
      <c r="X9" s="14"/>
      <c r="Y9" s="12"/>
      <c r="Z9" s="15"/>
      <c r="AA9" s="16">
        <f>IF(OR($G9="RESP",$G9="CAN",$G9="BCAN",$G9="Ext. HRE"),"-",COUNTIFS(PRUEBAS_PARTICIPANTES,H9,PRUEBAS_NOMBRE,'Call Tree HRE 2018'!AA$2))</f>
        <v>0</v>
      </c>
      <c r="AB9" s="16">
        <f>IF(OR($G9="RESP",$G9="CAN",$G9="BCAN",$G9="Ext. HRE"),"-",COUNTIFS(PRUEBAS_PARTICIPANTES,H9,PRUEBAS_NOMBRE,'Call Tree HRE 2018'!AB$2))</f>
        <v>0</v>
      </c>
      <c r="AC9" s="16">
        <f>IF(OR($G9="RESP",$G9="CAN",$G9="BCAN",$G9="Ext. HRE"),"-",COUNTIFS(PRUEBAS_PARTICIPANTES,H9,PRUEBAS_NOMBRE,'Call Tree HRE 2018'!AC$2))</f>
        <v>0</v>
      </c>
      <c r="AD9" s="14" t="str">
        <f t="shared" si="11"/>
        <v>No</v>
      </c>
    </row>
    <row r="10" spans="1:30" ht="77.5" x14ac:dyDescent="0.35">
      <c r="A10" s="12" t="str">
        <f t="shared" si="0"/>
        <v>01.100.01.0</v>
      </c>
      <c r="B10" s="12" t="str">
        <f t="shared" si="1"/>
        <v>01.01.100.0</v>
      </c>
      <c r="C10" s="12" t="s">
        <v>299</v>
      </c>
      <c r="D10" s="13" t="s">
        <v>306</v>
      </c>
      <c r="E10" s="13" t="s">
        <v>359</v>
      </c>
      <c r="F10" s="13">
        <v>3565</v>
      </c>
      <c r="G10" s="13" t="s">
        <v>30</v>
      </c>
      <c r="H10" s="13" t="str">
        <f t="shared" si="2"/>
        <v>Oscar Dominguez Lopez</v>
      </c>
      <c r="I10" s="12"/>
      <c r="J10" s="13" t="str">
        <f t="shared" si="3"/>
        <v xml:space="preserve"> - 689426605</v>
      </c>
      <c r="K10" s="13"/>
      <c r="L10" s="13" t="str">
        <f t="shared" si="4"/>
        <v>odominguez@haya.es</v>
      </c>
      <c r="M10" s="14" t="str">
        <f t="shared" si="5"/>
        <v>MAD01</v>
      </c>
      <c r="N10" s="13" t="str">
        <f t="shared" si="6"/>
        <v>Calle Medina de Pomar 27; 28042 Madrid</v>
      </c>
      <c r="O10" s="12"/>
      <c r="P10" s="12" t="str">
        <f t="shared" si="7"/>
        <v>Portatil</v>
      </c>
      <c r="Q10" s="14" t="str">
        <f t="shared" si="8"/>
        <v>Sí</v>
      </c>
      <c r="R10" s="12" t="str">
        <f t="shared" si="9"/>
        <v>Sí</v>
      </c>
      <c r="S10" s="14" t="str">
        <f t="shared" si="10"/>
        <v>Madrid</v>
      </c>
      <c r="T10" s="14"/>
      <c r="U10" s="14"/>
      <c r="V10" s="12"/>
      <c r="W10" s="12"/>
      <c r="X10" s="14"/>
      <c r="Y10" s="12"/>
      <c r="Z10" s="15"/>
      <c r="AA10" s="16">
        <f>IF(OR($G10="RESP",$G10="CAN",$G10="BCAN",$G10="Ext. HRE"),"-",COUNTIFS(PRUEBAS_PARTICIPANTES,H10,PRUEBAS_NOMBRE,'Call Tree HRE 2018'!AA$2))</f>
        <v>0</v>
      </c>
      <c r="AB10" s="16">
        <f>IF(OR($G10="RESP",$G10="CAN",$G10="BCAN",$G10="Ext. HRE"),"-",COUNTIFS(PRUEBAS_PARTICIPANTES,H10,PRUEBAS_NOMBRE,'Call Tree HRE 2018'!AB$2))</f>
        <v>0</v>
      </c>
      <c r="AC10" s="16">
        <f>IF(OR($G10="RESP",$G10="CAN",$G10="BCAN",$G10="Ext. HRE"),"-",COUNTIFS(PRUEBAS_PARTICIPANTES,H10,PRUEBAS_NOMBRE,'Call Tree HRE 2018'!AC$2))</f>
        <v>0</v>
      </c>
      <c r="AD10" s="14" t="str">
        <f t="shared" si="11"/>
        <v>No</v>
      </c>
    </row>
    <row r="11" spans="1:30" ht="77.5" x14ac:dyDescent="0.35">
      <c r="A11" s="12" t="str">
        <f t="shared" si="0"/>
        <v>01.100.01.0</v>
      </c>
      <c r="B11" s="12" t="str">
        <f t="shared" si="1"/>
        <v>01.01.100.0</v>
      </c>
      <c r="C11" s="12" t="s">
        <v>299</v>
      </c>
      <c r="D11" s="13" t="s">
        <v>306</v>
      </c>
      <c r="E11" s="13" t="s">
        <v>359</v>
      </c>
      <c r="F11" s="13">
        <v>2629</v>
      </c>
      <c r="G11" s="13" t="s">
        <v>30</v>
      </c>
      <c r="H11" s="13" t="str">
        <f t="shared" si="2"/>
        <v>Ivan Santiago Viñambres</v>
      </c>
      <c r="I11" s="12"/>
      <c r="J11" s="13" t="str">
        <f t="shared" si="3"/>
        <v xml:space="preserve"> - 689430442</v>
      </c>
      <c r="K11" s="13"/>
      <c r="L11" s="13" t="str">
        <f t="shared" si="4"/>
        <v>isantiago@haya.es</v>
      </c>
      <c r="M11" s="14" t="str">
        <f t="shared" si="5"/>
        <v>MAD01</v>
      </c>
      <c r="N11" s="13" t="str">
        <f t="shared" si="6"/>
        <v>Calle Medina de Pomar 27; 28042 Madrid</v>
      </c>
      <c r="O11" s="12"/>
      <c r="P11" s="12" t="str">
        <f t="shared" si="7"/>
        <v>Tablet</v>
      </c>
      <c r="Q11" s="14" t="str">
        <f t="shared" si="8"/>
        <v>Sí</v>
      </c>
      <c r="R11" s="12" t="str">
        <f t="shared" si="9"/>
        <v>Sí</v>
      </c>
      <c r="S11" s="14" t="str">
        <f t="shared" si="10"/>
        <v>Madrid</v>
      </c>
      <c r="T11" s="14"/>
      <c r="U11" s="14"/>
      <c r="V11" s="12"/>
      <c r="W11" s="12"/>
      <c r="X11" s="14"/>
      <c r="Y11" s="12"/>
      <c r="Z11" s="15"/>
      <c r="AA11" s="16">
        <f>IF(OR($G11="RESP",$G11="CAN",$G11="BCAN",$G11="Ext. HRE"),"-",COUNTIFS(PRUEBAS_PARTICIPANTES,H11,PRUEBAS_NOMBRE,'Call Tree HRE 2018'!AA$2))</f>
        <v>0</v>
      </c>
      <c r="AB11" s="16">
        <f>IF(OR($G11="RESP",$G11="CAN",$G11="BCAN",$G11="Ext. HRE"),"-",COUNTIFS(PRUEBAS_PARTICIPANTES,H11,PRUEBAS_NOMBRE,'Call Tree HRE 2018'!AB$2))</f>
        <v>0</v>
      </c>
      <c r="AC11" s="16">
        <f>IF(OR($G11="RESP",$G11="CAN",$G11="BCAN",$G11="Ext. HRE"),"-",COUNTIFS(PRUEBAS_PARTICIPANTES,H11,PRUEBAS_NOMBRE,'Call Tree HRE 2018'!AC$2))</f>
        <v>0</v>
      </c>
      <c r="AD11" s="14" t="str">
        <f t="shared" si="11"/>
        <v>No</v>
      </c>
    </row>
    <row r="12" spans="1:30" ht="46.5" x14ac:dyDescent="0.35">
      <c r="A12" s="12" t="str">
        <f t="shared" si="0"/>
        <v>02.010.00.1</v>
      </c>
      <c r="B12" s="12" t="str">
        <f t="shared" si="1"/>
        <v>02.00.010.1</v>
      </c>
      <c r="C12" s="12" t="s">
        <v>300</v>
      </c>
      <c r="D12" s="13" t="s">
        <v>304</v>
      </c>
      <c r="E12" s="13" t="s">
        <v>304</v>
      </c>
      <c r="F12" s="13">
        <v>2096</v>
      </c>
      <c r="G12" s="13" t="s">
        <v>297</v>
      </c>
      <c r="H12" s="13" t="str">
        <f t="shared" si="2"/>
        <v>Antonio Saenz Segovia</v>
      </c>
      <c r="I12" s="12"/>
      <c r="J12" s="13" t="str">
        <f t="shared" si="3"/>
        <v xml:space="preserve"> - 606610162</v>
      </c>
      <c r="K12" s="13"/>
      <c r="L12" s="13" t="str">
        <f t="shared" si="4"/>
        <v>asaenz@haya.es</v>
      </c>
      <c r="M12" s="14" t="str">
        <f t="shared" si="5"/>
        <v>MAD01</v>
      </c>
      <c r="N12" s="13" t="str">
        <f t="shared" si="6"/>
        <v>Calle Medina de Pomar 27; 28042 Madrid</v>
      </c>
      <c r="O12" s="12"/>
      <c r="P12" s="12" t="str">
        <f t="shared" si="7"/>
        <v>Portatil</v>
      </c>
      <c r="Q12" s="14" t="str">
        <f t="shared" si="8"/>
        <v>Sí</v>
      </c>
      <c r="R12" s="12" t="str">
        <f t="shared" si="9"/>
        <v>Sí</v>
      </c>
      <c r="S12" s="14" t="str">
        <f t="shared" si="10"/>
        <v>Madrid</v>
      </c>
      <c r="T12" s="14"/>
      <c r="U12" s="14"/>
      <c r="V12" s="12"/>
      <c r="W12" s="12"/>
      <c r="X12" s="14"/>
      <c r="Y12" s="12"/>
      <c r="Z12" s="15"/>
      <c r="AA12" s="16">
        <f>IF(OR($G12="RESP",$G12="CAN",$G12="BCAN",$G12="Ext. HRE"),"-",COUNTIFS(PRUEBAS_PARTICIPANTES,H12,PRUEBAS_NOMBRE,'Call Tree HRE 2018'!AA$2))</f>
        <v>0</v>
      </c>
      <c r="AB12" s="16">
        <f>IF(OR($G12="RESP",$G12="CAN",$G12="BCAN",$G12="Ext. HRE"),"-",COUNTIFS(PRUEBAS_PARTICIPANTES,H12,PRUEBAS_NOMBRE,'Call Tree HRE 2018'!AB$2))</f>
        <v>0</v>
      </c>
      <c r="AC12" s="16">
        <f>IF(OR($G12="RESP",$G12="CAN",$G12="BCAN",$G12="Ext. HRE"),"-",COUNTIFS(PRUEBAS_PARTICIPANTES,H12,PRUEBAS_NOMBRE,'Call Tree HRE 2018'!AC$2))</f>
        <v>0</v>
      </c>
      <c r="AD12" s="14" t="str">
        <f t="shared" si="11"/>
        <v>No</v>
      </c>
    </row>
    <row r="13" spans="1:30" ht="46.5" x14ac:dyDescent="0.35">
      <c r="A13" s="12" t="str">
        <f t="shared" si="0"/>
        <v>02.020.00.0</v>
      </c>
      <c r="B13" s="12" t="str">
        <f t="shared" si="1"/>
        <v>02.00.020.0</v>
      </c>
      <c r="C13" s="12" t="s">
        <v>300</v>
      </c>
      <c r="D13" s="13" t="s">
        <v>305</v>
      </c>
      <c r="E13" s="13" t="s">
        <v>305</v>
      </c>
      <c r="F13" s="13">
        <v>3</v>
      </c>
      <c r="G13" s="13" t="s">
        <v>298</v>
      </c>
      <c r="H13" s="13" t="str">
        <f t="shared" si="2"/>
        <v>Benjamin Grau Serra</v>
      </c>
      <c r="I13" s="12"/>
      <c r="J13" s="13" t="str">
        <f t="shared" si="3"/>
        <v xml:space="preserve"> - 659602129</v>
      </c>
      <c r="K13" s="13"/>
      <c r="L13" s="13" t="str">
        <f t="shared" si="4"/>
        <v>bgs@haya.es</v>
      </c>
      <c r="M13" s="14" t="str">
        <f t="shared" si="5"/>
        <v>VAL01</v>
      </c>
      <c r="N13" s="13" t="str">
        <f t="shared" si="6"/>
        <v>Av. Cardenal Benlloch, 67 6º; 46021 Valencia</v>
      </c>
      <c r="O13" s="12"/>
      <c r="P13" s="12" t="str">
        <f t="shared" si="7"/>
        <v>Portatil</v>
      </c>
      <c r="Q13" s="14" t="str">
        <f t="shared" si="8"/>
        <v>Sí</v>
      </c>
      <c r="R13" s="12" t="str">
        <f t="shared" si="9"/>
        <v>Sí</v>
      </c>
      <c r="S13" s="14" t="str">
        <f t="shared" si="10"/>
        <v>Valencia</v>
      </c>
      <c r="T13" s="14"/>
      <c r="U13" s="14"/>
      <c r="V13" s="12"/>
      <c r="W13" s="12"/>
      <c r="X13" s="14"/>
      <c r="Y13" s="12"/>
      <c r="Z13" s="15"/>
      <c r="AA13" s="16">
        <f>IF(OR($G13="RESP",$G13="CAN",$G13="BCAN",$G13="Ext. HRE"),"-",COUNTIFS(PRUEBAS_PARTICIPANTES,H13,PRUEBAS_NOMBRE,'Call Tree HRE 2018'!AA$2))</f>
        <v>0</v>
      </c>
      <c r="AB13" s="16">
        <f>IF(OR($G13="RESP",$G13="CAN",$G13="BCAN",$G13="Ext. HRE"),"-",COUNTIFS(PRUEBAS_PARTICIPANTES,H13,PRUEBAS_NOMBRE,'Call Tree HRE 2018'!AB$2))</f>
        <v>0</v>
      </c>
      <c r="AC13" s="16">
        <f>IF(OR($G13="RESP",$G13="CAN",$G13="BCAN",$G13="Ext. HRE"),"-",COUNTIFS(PRUEBAS_PARTICIPANTES,H13,PRUEBAS_NOMBRE,'Call Tree HRE 2018'!AC$2))</f>
        <v>0</v>
      </c>
      <c r="AD13" s="14" t="str">
        <f t="shared" si="11"/>
        <v>No</v>
      </c>
    </row>
    <row r="14" spans="1:30" ht="46.5" x14ac:dyDescent="0.35">
      <c r="A14" s="12" t="str">
        <f t="shared" si="0"/>
        <v>02.039.01.1</v>
      </c>
      <c r="B14" s="12" t="str">
        <f t="shared" si="1"/>
        <v>02.01.039.1</v>
      </c>
      <c r="C14" s="12" t="s">
        <v>300</v>
      </c>
      <c r="D14" s="13" t="s">
        <v>358</v>
      </c>
      <c r="E14" s="13" t="s">
        <v>28</v>
      </c>
      <c r="F14" s="13">
        <v>2096</v>
      </c>
      <c r="G14" s="13" t="s">
        <v>29</v>
      </c>
      <c r="H14" s="13" t="str">
        <f t="shared" si="2"/>
        <v>Antonio Saenz Segovia</v>
      </c>
      <c r="I14" s="12"/>
      <c r="J14" s="13" t="str">
        <f t="shared" si="3"/>
        <v xml:space="preserve"> - 606610162</v>
      </c>
      <c r="K14" s="13"/>
      <c r="L14" s="13" t="str">
        <f t="shared" si="4"/>
        <v>asaenz@haya.es</v>
      </c>
      <c r="M14" s="14" t="str">
        <f t="shared" si="5"/>
        <v>MAD01</v>
      </c>
      <c r="N14" s="13" t="str">
        <f t="shared" si="6"/>
        <v>Calle Medina de Pomar 27; 28042 Madrid</v>
      </c>
      <c r="O14" s="12"/>
      <c r="P14" s="12" t="str">
        <f t="shared" si="7"/>
        <v>Portatil</v>
      </c>
      <c r="Q14" s="14" t="str">
        <f t="shared" si="8"/>
        <v>Sí</v>
      </c>
      <c r="R14" s="12" t="str">
        <f t="shared" si="9"/>
        <v>Sí</v>
      </c>
      <c r="S14" s="14" t="str">
        <f t="shared" si="10"/>
        <v>Madrid</v>
      </c>
      <c r="T14" s="14"/>
      <c r="U14" s="14"/>
      <c r="V14" s="12"/>
      <c r="W14" s="12"/>
      <c r="X14" s="14"/>
      <c r="Y14" s="12"/>
      <c r="Z14" s="15"/>
      <c r="AA14" s="16">
        <f>IF(OR($G14="RESP",$G14="CAN",$G14="BCAN",$G14="Ext. HRE"),"-",COUNTIFS(PRUEBAS_PARTICIPANTES,H14,PRUEBAS_NOMBRE,'Call Tree HRE 2018'!AA$2))</f>
        <v>0</v>
      </c>
      <c r="AB14" s="16">
        <f>IF(OR($G14="RESP",$G14="CAN",$G14="BCAN",$G14="Ext. HRE"),"-",COUNTIFS(PRUEBAS_PARTICIPANTES,H14,PRUEBAS_NOMBRE,'Call Tree HRE 2018'!AB$2))</f>
        <v>0</v>
      </c>
      <c r="AC14" s="16">
        <f>IF(OR($G14="RESP",$G14="CAN",$G14="BCAN",$G14="Ext. HRE"),"-",COUNTIFS(PRUEBAS_PARTICIPANTES,H14,PRUEBAS_NOMBRE,'Call Tree HRE 2018'!AC$2))</f>
        <v>0</v>
      </c>
      <c r="AD14" s="14" t="str">
        <f t="shared" si="11"/>
        <v>No</v>
      </c>
    </row>
    <row r="15" spans="1:30" ht="46.5" x14ac:dyDescent="0.35">
      <c r="A15" s="12" t="str">
        <f t="shared" si="0"/>
        <v>02.039.01.1</v>
      </c>
      <c r="B15" s="12" t="str">
        <f t="shared" si="1"/>
        <v>02.01.039.1</v>
      </c>
      <c r="C15" s="12" t="s">
        <v>300</v>
      </c>
      <c r="D15" s="13" t="s">
        <v>358</v>
      </c>
      <c r="E15" s="13" t="s">
        <v>28</v>
      </c>
      <c r="F15" s="13">
        <v>3</v>
      </c>
      <c r="G15" s="13" t="s">
        <v>29</v>
      </c>
      <c r="H15" s="13" t="str">
        <f t="shared" si="2"/>
        <v>Benjamin Grau Serra</v>
      </c>
      <c r="I15" s="12"/>
      <c r="J15" s="13" t="str">
        <f t="shared" si="3"/>
        <v xml:space="preserve"> - 659602129</v>
      </c>
      <c r="K15" s="13"/>
      <c r="L15" s="13" t="str">
        <f t="shared" si="4"/>
        <v>bgs@haya.es</v>
      </c>
      <c r="M15" s="14" t="str">
        <f t="shared" si="5"/>
        <v>VAL01</v>
      </c>
      <c r="N15" s="13" t="str">
        <f t="shared" si="6"/>
        <v>Av. Cardenal Benlloch, 67 6º; 46021 Valencia</v>
      </c>
      <c r="O15" s="12"/>
      <c r="P15" s="12" t="str">
        <f t="shared" si="7"/>
        <v>Portatil</v>
      </c>
      <c r="Q15" s="14" t="str">
        <f t="shared" si="8"/>
        <v>Sí</v>
      </c>
      <c r="R15" s="12" t="str">
        <f t="shared" si="9"/>
        <v>Sí</v>
      </c>
      <c r="S15" s="14" t="str">
        <f t="shared" si="10"/>
        <v>Valencia</v>
      </c>
      <c r="T15" s="14"/>
      <c r="U15" s="14"/>
      <c r="V15" s="12"/>
      <c r="W15" s="12"/>
      <c r="X15" s="14"/>
      <c r="Y15" s="12"/>
      <c r="Z15" s="15"/>
      <c r="AA15" s="16">
        <f>IF(OR($G15="RESP",$G15="CAN",$G15="BCAN",$G15="Ext. HRE"),"-",COUNTIFS(PRUEBAS_PARTICIPANTES,H15,PRUEBAS_NOMBRE,'Call Tree HRE 2018'!AA$2))</f>
        <v>0</v>
      </c>
      <c r="AB15" s="16">
        <f>IF(OR($G15="RESP",$G15="CAN",$G15="BCAN",$G15="Ext. HRE"),"-",COUNTIFS(PRUEBAS_PARTICIPANTES,H15,PRUEBAS_NOMBRE,'Call Tree HRE 2018'!AB$2))</f>
        <v>0</v>
      </c>
      <c r="AC15" s="16">
        <f>IF(OR($G15="RESP",$G15="CAN",$G15="BCAN",$G15="Ext. HRE"),"-",COUNTIFS(PRUEBAS_PARTICIPANTES,H15,PRUEBAS_NOMBRE,'Call Tree HRE 2018'!AC$2))</f>
        <v>0</v>
      </c>
      <c r="AD15" s="14" t="str">
        <f t="shared" si="11"/>
        <v>No</v>
      </c>
    </row>
    <row r="16" spans="1:30" ht="46.5" x14ac:dyDescent="0.35">
      <c r="A16" s="12" t="str">
        <f t="shared" si="0"/>
        <v>02.039.01.1</v>
      </c>
      <c r="B16" s="12" t="str">
        <f t="shared" si="1"/>
        <v>02.01.039.1</v>
      </c>
      <c r="C16" s="12" t="s">
        <v>300</v>
      </c>
      <c r="D16" s="13" t="s">
        <v>358</v>
      </c>
      <c r="E16" s="13" t="s">
        <v>28</v>
      </c>
      <c r="F16" s="13">
        <v>2481</v>
      </c>
      <c r="G16" s="13" t="s">
        <v>29</v>
      </c>
      <c r="H16" s="13" t="str">
        <f t="shared" si="2"/>
        <v>David Garcia Gregorio</v>
      </c>
      <c r="I16" s="12"/>
      <c r="J16" s="13" t="str">
        <f t="shared" si="3"/>
        <v xml:space="preserve"> - 680392507</v>
      </c>
      <c r="K16" s="13"/>
      <c r="L16" s="13" t="str">
        <f t="shared" si="4"/>
        <v>dgarciag@haya.es</v>
      </c>
      <c r="M16" s="14" t="str">
        <f t="shared" si="5"/>
        <v>MAD01</v>
      </c>
      <c r="N16" s="13" t="str">
        <f t="shared" si="6"/>
        <v>Calle Medina de Pomar 27; 28042 Madrid</v>
      </c>
      <c r="O16" s="12"/>
      <c r="P16" s="12" t="str">
        <f t="shared" si="7"/>
        <v>Portatil</v>
      </c>
      <c r="Q16" s="14" t="str">
        <f t="shared" si="8"/>
        <v>Sí</v>
      </c>
      <c r="R16" s="12" t="str">
        <f t="shared" si="9"/>
        <v>Sí</v>
      </c>
      <c r="S16" s="14" t="str">
        <f t="shared" si="10"/>
        <v>Madrid</v>
      </c>
      <c r="T16" s="14"/>
      <c r="U16" s="14"/>
      <c r="V16" s="12"/>
      <c r="W16" s="12"/>
      <c r="X16" s="14"/>
      <c r="Y16" s="12"/>
      <c r="Z16" s="15"/>
      <c r="AA16" s="16">
        <f>IF(OR($G16="RESP",$G16="CAN",$G16="BCAN",$G16="Ext. HRE"),"-",COUNTIFS(PRUEBAS_PARTICIPANTES,H16,PRUEBAS_NOMBRE,'Call Tree HRE 2018'!AA$2))</f>
        <v>0</v>
      </c>
      <c r="AB16" s="16">
        <f>IF(OR($G16="RESP",$G16="CAN",$G16="BCAN",$G16="Ext. HRE"),"-",COUNTIFS(PRUEBAS_PARTICIPANTES,H16,PRUEBAS_NOMBRE,'Call Tree HRE 2018'!AB$2))</f>
        <v>0</v>
      </c>
      <c r="AC16" s="16">
        <f>IF(OR($G16="RESP",$G16="CAN",$G16="BCAN",$G16="Ext. HRE"),"-",COUNTIFS(PRUEBAS_PARTICIPANTES,H16,PRUEBAS_NOMBRE,'Call Tree HRE 2018'!AC$2))</f>
        <v>0</v>
      </c>
      <c r="AD16" s="14" t="str">
        <f t="shared" si="11"/>
        <v>No</v>
      </c>
    </row>
    <row r="17" spans="1:30" ht="46.5" x14ac:dyDescent="0.35">
      <c r="A17" s="12" t="str">
        <f t="shared" si="0"/>
        <v>02.059.01.1</v>
      </c>
      <c r="B17" s="12" t="str">
        <f t="shared" si="1"/>
        <v>02.01.059.1</v>
      </c>
      <c r="C17" s="12" t="s">
        <v>300</v>
      </c>
      <c r="D17" s="13" t="s">
        <v>358</v>
      </c>
      <c r="E17" s="13" t="s">
        <v>28</v>
      </c>
      <c r="F17" s="13">
        <v>4</v>
      </c>
      <c r="G17" s="13" t="s">
        <v>36</v>
      </c>
      <c r="H17" s="13" t="str">
        <f t="shared" si="2"/>
        <v>Cristina Huguet Martinez</v>
      </c>
      <c r="I17" s="12"/>
      <c r="J17" s="13" t="str">
        <f t="shared" si="3"/>
        <v xml:space="preserve"> - 680190272</v>
      </c>
      <c r="K17" s="13"/>
      <c r="L17" s="13" t="str">
        <f t="shared" si="4"/>
        <v>chm@haya.es</v>
      </c>
      <c r="M17" s="14" t="str">
        <f t="shared" si="5"/>
        <v>VAL01</v>
      </c>
      <c r="N17" s="13" t="str">
        <f t="shared" si="6"/>
        <v>Av. Cardenal Benlloch, 67 6º; 46021 Valencia</v>
      </c>
      <c r="O17" s="12"/>
      <c r="P17" s="12" t="str">
        <f t="shared" si="7"/>
        <v>Portatil</v>
      </c>
      <c r="Q17" s="14" t="str">
        <f t="shared" si="8"/>
        <v>Sí</v>
      </c>
      <c r="R17" s="12" t="str">
        <f t="shared" si="9"/>
        <v>Sí</v>
      </c>
      <c r="S17" s="14" t="str">
        <f t="shared" si="10"/>
        <v>Valencia</v>
      </c>
      <c r="T17" s="14"/>
      <c r="U17" s="14"/>
      <c r="V17" s="12"/>
      <c r="W17" s="12"/>
      <c r="X17" s="14"/>
      <c r="Y17" s="12"/>
      <c r="Z17" s="15"/>
      <c r="AA17" s="16">
        <f>IF(OR($G17="RESP",$G17="CAN",$G17="BCAN",$G17="Ext. HRE"),"-",COUNTIFS(PRUEBAS_PARTICIPANTES,H17,PRUEBAS_NOMBRE,'Call Tree HRE 2018'!AA$2))</f>
        <v>0</v>
      </c>
      <c r="AB17" s="16">
        <f>IF(OR($G17="RESP",$G17="CAN",$G17="BCAN",$G17="Ext. HRE"),"-",COUNTIFS(PRUEBAS_PARTICIPANTES,H17,PRUEBAS_NOMBRE,'Call Tree HRE 2018'!AB$2))</f>
        <v>0</v>
      </c>
      <c r="AC17" s="16">
        <f>IF(OR($G17="RESP",$G17="CAN",$G17="BCAN",$G17="Ext. HRE"),"-",COUNTIFS(PRUEBAS_PARTICIPANTES,H17,PRUEBAS_NOMBRE,'Call Tree HRE 2018'!AC$2))</f>
        <v>0</v>
      </c>
      <c r="AD17" s="14" t="str">
        <f t="shared" si="11"/>
        <v>No</v>
      </c>
    </row>
    <row r="18" spans="1:30" ht="46.5" x14ac:dyDescent="0.35">
      <c r="A18" s="12" t="str">
        <f t="shared" si="0"/>
        <v>03.010.00.0</v>
      </c>
      <c r="B18" s="12" t="str">
        <f t="shared" si="1"/>
        <v>03.00.010.0</v>
      </c>
      <c r="C18" s="12" t="s">
        <v>301</v>
      </c>
      <c r="D18" s="13" t="s">
        <v>304</v>
      </c>
      <c r="E18" s="13" t="s">
        <v>304</v>
      </c>
      <c r="F18" s="13">
        <v>2623</v>
      </c>
      <c r="G18" s="13" t="s">
        <v>297</v>
      </c>
      <c r="H18" s="13" t="str">
        <f t="shared" si="2"/>
        <v>Ismael Lorenzo de la Orden</v>
      </c>
      <c r="I18" s="12"/>
      <c r="J18" s="13" t="str">
        <f t="shared" si="3"/>
        <v xml:space="preserve"> - 609053783</v>
      </c>
      <c r="K18" s="13"/>
      <c r="L18" s="13" t="str">
        <f t="shared" si="4"/>
        <v>ilorenzo@haya.es</v>
      </c>
      <c r="M18" s="14" t="str">
        <f t="shared" si="5"/>
        <v>MAD01</v>
      </c>
      <c r="N18" s="13" t="str">
        <f t="shared" si="6"/>
        <v>Calle Medina de Pomar 27; 28042 Madrid</v>
      </c>
      <c r="O18" s="12"/>
      <c r="P18" s="12" t="str">
        <f t="shared" si="7"/>
        <v>Portatil</v>
      </c>
      <c r="Q18" s="14" t="str">
        <f t="shared" si="8"/>
        <v>Sí</v>
      </c>
      <c r="R18" s="12" t="str">
        <f t="shared" si="9"/>
        <v>Sí</v>
      </c>
      <c r="S18" s="14" t="str">
        <f t="shared" si="10"/>
        <v>Madrid</v>
      </c>
      <c r="T18" s="14"/>
      <c r="U18" s="14"/>
      <c r="V18" s="12"/>
      <c r="W18" s="12"/>
      <c r="X18" s="14"/>
      <c r="Y18" s="12"/>
      <c r="Z18" s="15"/>
      <c r="AA18" s="16">
        <f>IF(OR($G18="RESP",$G18="CAN",$G18="BCAN",$G18="Ext. HRE"),"-",COUNTIFS(PRUEBAS_PARTICIPANTES,H18,PRUEBAS_NOMBRE,'Call Tree HRE 2018'!AA$2))</f>
        <v>0</v>
      </c>
      <c r="AB18" s="16">
        <f>IF(OR($G18="RESP",$G18="CAN",$G18="BCAN",$G18="Ext. HRE"),"-",COUNTIFS(PRUEBAS_PARTICIPANTES,H18,PRUEBAS_NOMBRE,'Call Tree HRE 2018'!AB$2))</f>
        <v>0</v>
      </c>
      <c r="AC18" s="16">
        <f>IF(OR($G18="RESP",$G18="CAN",$G18="BCAN",$G18="Ext. HRE"),"-",COUNTIFS(PRUEBAS_PARTICIPANTES,H18,PRUEBAS_NOMBRE,'Call Tree HRE 2018'!AC$2))</f>
        <v>0</v>
      </c>
      <c r="AD18" s="14" t="str">
        <f t="shared" si="11"/>
        <v>No</v>
      </c>
    </row>
    <row r="19" spans="1:30" ht="46.5" x14ac:dyDescent="0.35">
      <c r="A19" s="12" t="str">
        <f t="shared" si="0"/>
        <v>03.020.00.1</v>
      </c>
      <c r="B19" s="12" t="str">
        <f t="shared" si="1"/>
        <v>03.00.020.1</v>
      </c>
      <c r="C19" s="12" t="s">
        <v>301</v>
      </c>
      <c r="D19" s="13" t="s">
        <v>305</v>
      </c>
      <c r="E19" s="13" t="s">
        <v>305</v>
      </c>
      <c r="F19" s="13">
        <v>2670</v>
      </c>
      <c r="G19" s="13" t="s">
        <v>298</v>
      </c>
      <c r="H19" s="13" t="str">
        <f t="shared" si="2"/>
        <v>Amador Gomez Rivera</v>
      </c>
      <c r="I19" s="12"/>
      <c r="J19" s="13" t="str">
        <f t="shared" si="3"/>
        <v xml:space="preserve"> - 646119394</v>
      </c>
      <c r="K19" s="13"/>
      <c r="L19" s="13" t="str">
        <f t="shared" si="4"/>
        <v>agomez@haya.es</v>
      </c>
      <c r="M19" s="14" t="str">
        <f t="shared" si="5"/>
        <v>MAD01</v>
      </c>
      <c r="N19" s="13" t="str">
        <f t="shared" si="6"/>
        <v>Calle Medina de Pomar 27; 28042 Madrid</v>
      </c>
      <c r="O19" s="12"/>
      <c r="P19" s="12" t="str">
        <f t="shared" si="7"/>
        <v>Portatil</v>
      </c>
      <c r="Q19" s="14" t="str">
        <f t="shared" si="8"/>
        <v>Sí</v>
      </c>
      <c r="R19" s="12" t="str">
        <f t="shared" si="9"/>
        <v>Sí</v>
      </c>
      <c r="S19" s="14" t="str">
        <f t="shared" si="10"/>
        <v>Madrid</v>
      </c>
      <c r="T19" s="14"/>
      <c r="U19" s="14"/>
      <c r="V19" s="12"/>
      <c r="W19" s="12"/>
      <c r="X19" s="14"/>
      <c r="Y19" s="12"/>
      <c r="Z19" s="15"/>
      <c r="AA19" s="16">
        <f>IF(OR($G19="RESP",$G19="CAN",$G19="BCAN",$G19="Ext. HRE"),"-",COUNTIFS(PRUEBAS_PARTICIPANTES,H19,PRUEBAS_NOMBRE,'Call Tree HRE 2018'!AA$2))</f>
        <v>0</v>
      </c>
      <c r="AB19" s="16">
        <f>IF(OR($G19="RESP",$G19="CAN",$G19="BCAN",$G19="Ext. HRE"),"-",COUNTIFS(PRUEBAS_PARTICIPANTES,H19,PRUEBAS_NOMBRE,'Call Tree HRE 2018'!AB$2))</f>
        <v>0</v>
      </c>
      <c r="AC19" s="16">
        <f>IF(OR($G19="RESP",$G19="CAN",$G19="BCAN",$G19="Ext. HRE"),"-",COUNTIFS(PRUEBAS_PARTICIPANTES,H19,PRUEBAS_NOMBRE,'Call Tree HRE 2018'!AC$2))</f>
        <v>0</v>
      </c>
      <c r="AD19" s="14" t="str">
        <f t="shared" si="11"/>
        <v>No</v>
      </c>
    </row>
    <row r="20" spans="1:30" ht="46.5" x14ac:dyDescent="0.35">
      <c r="A20" s="12" t="str">
        <f t="shared" si="0"/>
        <v>03.020.00.1</v>
      </c>
      <c r="B20" s="12" t="str">
        <f t="shared" si="1"/>
        <v>03.00.020.1</v>
      </c>
      <c r="C20" s="12" t="s">
        <v>301</v>
      </c>
      <c r="D20" s="13" t="s">
        <v>305</v>
      </c>
      <c r="E20" s="13" t="s">
        <v>305</v>
      </c>
      <c r="F20" s="13">
        <v>4742</v>
      </c>
      <c r="G20" s="13" t="s">
        <v>298</v>
      </c>
      <c r="H20" s="13" t="str">
        <f t="shared" si="2"/>
        <v>Luis Gomez Cabezas</v>
      </c>
      <c r="I20" s="12"/>
      <c r="J20" s="13" t="str">
        <f t="shared" si="3"/>
        <v xml:space="preserve"> - 686863652</v>
      </c>
      <c r="K20" s="13"/>
      <c r="L20" s="13" t="str">
        <f t="shared" si="4"/>
        <v>lgomezc@haya.es</v>
      </c>
      <c r="M20" s="14" t="str">
        <f t="shared" si="5"/>
        <v>MAD01</v>
      </c>
      <c r="N20" s="13" t="str">
        <f t="shared" si="6"/>
        <v>Calle Medina de Pomar 27; 28042 Madrid</v>
      </c>
      <c r="O20" s="12"/>
      <c r="P20" s="12" t="str">
        <f t="shared" si="7"/>
        <v>Portatil</v>
      </c>
      <c r="Q20" s="14" t="str">
        <f t="shared" si="8"/>
        <v>Sí</v>
      </c>
      <c r="R20" s="12" t="str">
        <f t="shared" si="9"/>
        <v>Sí</v>
      </c>
      <c r="S20" s="14" t="str">
        <f t="shared" si="10"/>
        <v>Madrid</v>
      </c>
      <c r="T20" s="14"/>
      <c r="U20" s="14"/>
      <c r="V20" s="12"/>
      <c r="W20" s="12"/>
      <c r="X20" s="14"/>
      <c r="Y20" s="12"/>
      <c r="Z20" s="15"/>
      <c r="AA20" s="16">
        <f>IF(OR($G20="RESP",$G20="CAN",$G20="BCAN",$G20="Ext. HRE"),"-",COUNTIFS(PRUEBAS_PARTICIPANTES,H20,PRUEBAS_NOMBRE,'Call Tree HRE 2018'!AA$2))</f>
        <v>0</v>
      </c>
      <c r="AB20" s="16">
        <f>IF(OR($G20="RESP",$G20="CAN",$G20="BCAN",$G20="Ext. HRE"),"-",COUNTIFS(PRUEBAS_PARTICIPANTES,H20,PRUEBAS_NOMBRE,'Call Tree HRE 2018'!AB$2))</f>
        <v>0</v>
      </c>
      <c r="AC20" s="16">
        <f>IF(OR($G20="RESP",$G20="CAN",$G20="BCAN",$G20="Ext. HRE"),"-",COUNTIFS(PRUEBAS_PARTICIPANTES,H20,PRUEBAS_NOMBRE,'Call Tree HRE 2018'!AC$2))</f>
        <v>0</v>
      </c>
      <c r="AD20" s="14" t="str">
        <f t="shared" si="11"/>
        <v>No</v>
      </c>
    </row>
    <row r="21" spans="1:30" ht="46.5" x14ac:dyDescent="0.35">
      <c r="A21" s="12" t="str">
        <f t="shared" si="0"/>
        <v>03.031.01.0</v>
      </c>
      <c r="B21" s="12" t="str">
        <f t="shared" si="1"/>
        <v>03.01.031.0</v>
      </c>
      <c r="C21" s="12" t="s">
        <v>301</v>
      </c>
      <c r="D21" s="13" t="s">
        <v>352</v>
      </c>
      <c r="E21" s="13" t="s">
        <v>353</v>
      </c>
      <c r="F21" s="13">
        <v>2623</v>
      </c>
      <c r="G21" s="13" t="s">
        <v>29</v>
      </c>
      <c r="H21" s="13" t="str">
        <f t="shared" si="2"/>
        <v>Ismael Lorenzo de la Orden</v>
      </c>
      <c r="I21" s="12"/>
      <c r="J21" s="13" t="str">
        <f t="shared" si="3"/>
        <v xml:space="preserve"> - 609053783</v>
      </c>
      <c r="K21" s="13"/>
      <c r="L21" s="13" t="str">
        <f t="shared" si="4"/>
        <v>ilorenzo@haya.es</v>
      </c>
      <c r="M21" s="14" t="str">
        <f t="shared" si="5"/>
        <v>MAD01</v>
      </c>
      <c r="N21" s="13" t="str">
        <f t="shared" si="6"/>
        <v>Calle Medina de Pomar 27; 28042 Madrid</v>
      </c>
      <c r="O21" s="12"/>
      <c r="P21" s="12" t="str">
        <f t="shared" si="7"/>
        <v>Portatil</v>
      </c>
      <c r="Q21" s="14" t="str">
        <f t="shared" si="8"/>
        <v>Sí</v>
      </c>
      <c r="R21" s="12" t="str">
        <f t="shared" si="9"/>
        <v>Sí</v>
      </c>
      <c r="S21" s="14" t="str">
        <f t="shared" si="10"/>
        <v>Madrid</v>
      </c>
      <c r="T21" s="14"/>
      <c r="U21" s="14"/>
      <c r="V21" s="12"/>
      <c r="W21" s="12"/>
      <c r="X21" s="14"/>
      <c r="Y21" s="12"/>
      <c r="Z21" s="15"/>
      <c r="AA21" s="16">
        <f>IF(OR($G21="RESP",$G21="CAN",$G21="BCAN",$G21="Ext. HRE"),"-",COUNTIFS(PRUEBAS_PARTICIPANTES,H21,PRUEBAS_NOMBRE,'Call Tree HRE 2018'!AA$2))</f>
        <v>0</v>
      </c>
      <c r="AB21" s="16">
        <f>IF(OR($G21="RESP",$G21="CAN",$G21="BCAN",$G21="Ext. HRE"),"-",COUNTIFS(PRUEBAS_PARTICIPANTES,H21,PRUEBAS_NOMBRE,'Call Tree HRE 2018'!AB$2))</f>
        <v>0</v>
      </c>
      <c r="AC21" s="16">
        <f>IF(OR($G21="RESP",$G21="CAN",$G21="BCAN",$G21="Ext. HRE"),"-",COUNTIFS(PRUEBAS_PARTICIPANTES,H21,PRUEBAS_NOMBRE,'Call Tree HRE 2018'!AC$2))</f>
        <v>0</v>
      </c>
      <c r="AD21" s="14" t="str">
        <f t="shared" si="11"/>
        <v>No</v>
      </c>
    </row>
    <row r="22" spans="1:30" ht="46.5" x14ac:dyDescent="0.35">
      <c r="A22" s="12" t="str">
        <f t="shared" si="0"/>
        <v>03.031.01.0</v>
      </c>
      <c r="B22" s="12" t="str">
        <f t="shared" si="1"/>
        <v>03.01.031.0</v>
      </c>
      <c r="C22" s="12" t="s">
        <v>301</v>
      </c>
      <c r="D22" s="13" t="s">
        <v>352</v>
      </c>
      <c r="E22" s="13" t="s">
        <v>353</v>
      </c>
      <c r="F22" s="13">
        <v>4166</v>
      </c>
      <c r="G22" s="13" t="s">
        <v>29</v>
      </c>
      <c r="H22" s="13" t="str">
        <f t="shared" si="2"/>
        <v>Ricardo Daniel Pardo Rivarola</v>
      </c>
      <c r="I22" s="12"/>
      <c r="J22" s="13" t="str">
        <f t="shared" si="3"/>
        <v xml:space="preserve"> - 636867379</v>
      </c>
      <c r="K22" s="13"/>
      <c r="L22" s="13" t="str">
        <f t="shared" si="4"/>
        <v>rpardo@haya.es</v>
      </c>
      <c r="M22" s="14" t="str">
        <f t="shared" si="5"/>
        <v>MAD01</v>
      </c>
      <c r="N22" s="13" t="str">
        <f t="shared" si="6"/>
        <v>Calle Medina de Pomar 27; 28042 Madrid</v>
      </c>
      <c r="O22" s="12"/>
      <c r="P22" s="12" t="str">
        <f t="shared" si="7"/>
        <v>Portatil</v>
      </c>
      <c r="Q22" s="14" t="str">
        <f t="shared" si="8"/>
        <v>Sí</v>
      </c>
      <c r="R22" s="12" t="str">
        <f t="shared" si="9"/>
        <v>Sí</v>
      </c>
      <c r="S22" s="14" t="str">
        <f t="shared" si="10"/>
        <v>Madrid</v>
      </c>
      <c r="T22" s="14"/>
      <c r="U22" s="14"/>
      <c r="V22" s="12"/>
      <c r="W22" s="12"/>
      <c r="X22" s="14"/>
      <c r="Y22" s="12"/>
      <c r="Z22" s="15"/>
      <c r="AA22" s="16">
        <f>IF(OR($G22="RESP",$G22="CAN",$G22="BCAN",$G22="Ext. HRE"),"-",COUNTIFS(PRUEBAS_PARTICIPANTES,H22,PRUEBAS_NOMBRE,'Call Tree HRE 2018'!AA$2))</f>
        <v>0</v>
      </c>
      <c r="AB22" s="16">
        <f>IF(OR($G22="RESP",$G22="CAN",$G22="BCAN",$G22="Ext. HRE"),"-",COUNTIFS(PRUEBAS_PARTICIPANTES,H22,PRUEBAS_NOMBRE,'Call Tree HRE 2018'!AB$2))</f>
        <v>0</v>
      </c>
      <c r="AC22" s="16">
        <f>IF(OR($G22="RESP",$G22="CAN",$G22="BCAN",$G22="Ext. HRE"),"-",COUNTIFS(PRUEBAS_PARTICIPANTES,H22,PRUEBAS_NOMBRE,'Call Tree HRE 2018'!AC$2))</f>
        <v>0</v>
      </c>
      <c r="AD22" s="14" t="str">
        <f t="shared" si="11"/>
        <v>No</v>
      </c>
    </row>
    <row r="23" spans="1:30" ht="46.5" x14ac:dyDescent="0.35">
      <c r="A23" s="12" t="str">
        <f t="shared" si="0"/>
        <v>03.031.01.0</v>
      </c>
      <c r="B23" s="12" t="str">
        <f t="shared" si="1"/>
        <v>03.01.031.0</v>
      </c>
      <c r="C23" s="12" t="s">
        <v>301</v>
      </c>
      <c r="D23" s="13" t="s">
        <v>352</v>
      </c>
      <c r="E23" s="13" t="s">
        <v>353</v>
      </c>
      <c r="F23" s="13">
        <v>2666</v>
      </c>
      <c r="G23" s="13" t="s">
        <v>29</v>
      </c>
      <c r="H23" s="13" t="str">
        <f t="shared" si="2"/>
        <v>Silvia Diaz Fernandez</v>
      </c>
      <c r="I23" s="12"/>
      <c r="J23" s="13" t="str">
        <f t="shared" si="3"/>
        <v xml:space="preserve"> - 686235908</v>
      </c>
      <c r="K23" s="13"/>
      <c r="L23" s="13" t="str">
        <f t="shared" si="4"/>
        <v>sdiaz@haya.es</v>
      </c>
      <c r="M23" s="14" t="str">
        <f t="shared" si="5"/>
        <v>MAD01</v>
      </c>
      <c r="N23" s="13" t="str">
        <f t="shared" si="6"/>
        <v>Calle Medina de Pomar 27; 28042 Madrid</v>
      </c>
      <c r="O23" s="12"/>
      <c r="P23" s="12" t="str">
        <f t="shared" si="7"/>
        <v>Portatil</v>
      </c>
      <c r="Q23" s="14" t="str">
        <f t="shared" si="8"/>
        <v>Sí</v>
      </c>
      <c r="R23" s="12" t="str">
        <f t="shared" si="9"/>
        <v>Sí</v>
      </c>
      <c r="S23" s="14" t="str">
        <f t="shared" si="10"/>
        <v>Madrid</v>
      </c>
      <c r="T23" s="14"/>
      <c r="U23" s="14"/>
      <c r="V23" s="12"/>
      <c r="W23" s="12"/>
      <c r="X23" s="14"/>
      <c r="Y23" s="12"/>
      <c r="Z23" s="15"/>
      <c r="AA23" s="16">
        <f>IF(OR($G23="RESP",$G23="CAN",$G23="BCAN",$G23="Ext. HRE"),"-",COUNTIFS(PRUEBAS_PARTICIPANTES,H23,PRUEBAS_NOMBRE,'Call Tree HRE 2018'!AA$2))</f>
        <v>0</v>
      </c>
      <c r="AB23" s="16">
        <f>IF(OR($G23="RESP",$G23="CAN",$G23="BCAN",$G23="Ext. HRE"),"-",COUNTIFS(PRUEBAS_PARTICIPANTES,H23,PRUEBAS_NOMBRE,'Call Tree HRE 2018'!AB$2))</f>
        <v>0</v>
      </c>
      <c r="AC23" s="16">
        <f>IF(OR($G23="RESP",$G23="CAN",$G23="BCAN",$G23="Ext. HRE"),"-",COUNTIFS(PRUEBAS_PARTICIPANTES,H23,PRUEBAS_NOMBRE,'Call Tree HRE 2018'!AC$2))</f>
        <v>0</v>
      </c>
      <c r="AD23" s="14" t="str">
        <f t="shared" si="11"/>
        <v>No</v>
      </c>
    </row>
    <row r="24" spans="1:30" ht="46.5" x14ac:dyDescent="0.35">
      <c r="A24" s="12" t="str">
        <f t="shared" si="0"/>
        <v>03.031.01.0</v>
      </c>
      <c r="B24" s="12" t="str">
        <f t="shared" si="1"/>
        <v>03.01.031.0</v>
      </c>
      <c r="C24" s="12" t="s">
        <v>301</v>
      </c>
      <c r="D24" s="13" t="s">
        <v>352</v>
      </c>
      <c r="E24" s="13" t="s">
        <v>353</v>
      </c>
      <c r="F24" s="13">
        <v>2670</v>
      </c>
      <c r="G24" s="13" t="s">
        <v>29</v>
      </c>
      <c r="H24" s="13" t="str">
        <f t="shared" si="2"/>
        <v>Amador Gomez Rivera</v>
      </c>
      <c r="I24" s="12"/>
      <c r="J24" s="13" t="str">
        <f t="shared" si="3"/>
        <v xml:space="preserve"> - 646119394</v>
      </c>
      <c r="K24" s="13"/>
      <c r="L24" s="13" t="str">
        <f t="shared" si="4"/>
        <v>agomez@haya.es</v>
      </c>
      <c r="M24" s="14" t="str">
        <f t="shared" si="5"/>
        <v>MAD01</v>
      </c>
      <c r="N24" s="13" t="str">
        <f t="shared" si="6"/>
        <v>Calle Medina de Pomar 27; 28042 Madrid</v>
      </c>
      <c r="O24" s="12"/>
      <c r="P24" s="12" t="str">
        <f t="shared" si="7"/>
        <v>Portatil</v>
      </c>
      <c r="Q24" s="14" t="str">
        <f t="shared" si="8"/>
        <v>Sí</v>
      </c>
      <c r="R24" s="12" t="str">
        <f t="shared" si="9"/>
        <v>Sí</v>
      </c>
      <c r="S24" s="14" t="str">
        <f t="shared" si="10"/>
        <v>Madrid</v>
      </c>
      <c r="T24" s="14"/>
      <c r="U24" s="14"/>
      <c r="V24" s="12"/>
      <c r="W24" s="12"/>
      <c r="X24" s="14"/>
      <c r="Y24" s="12"/>
      <c r="Z24" s="15"/>
      <c r="AA24" s="16">
        <f>IF(OR($G24="RESP",$G24="CAN",$G24="BCAN",$G24="Ext. HRE"),"-",COUNTIFS(PRUEBAS_PARTICIPANTES,H24,PRUEBAS_NOMBRE,'Call Tree HRE 2018'!AA$2))</f>
        <v>0</v>
      </c>
      <c r="AB24" s="16">
        <f>IF(OR($G24="RESP",$G24="CAN",$G24="BCAN",$G24="Ext. HRE"),"-",COUNTIFS(PRUEBAS_PARTICIPANTES,H24,PRUEBAS_NOMBRE,'Call Tree HRE 2018'!AB$2))</f>
        <v>0</v>
      </c>
      <c r="AC24" s="16">
        <f>IF(OR($G24="RESP",$G24="CAN",$G24="BCAN",$G24="Ext. HRE"),"-",COUNTIFS(PRUEBAS_PARTICIPANTES,H24,PRUEBAS_NOMBRE,'Call Tree HRE 2018'!AC$2))</f>
        <v>0</v>
      </c>
      <c r="AD24" s="14" t="str">
        <f t="shared" si="11"/>
        <v>No</v>
      </c>
    </row>
    <row r="25" spans="1:30" ht="46.5" x14ac:dyDescent="0.35">
      <c r="A25" s="12" t="str">
        <f t="shared" si="0"/>
        <v>03.031.01.0</v>
      </c>
      <c r="B25" s="12" t="str">
        <f t="shared" si="1"/>
        <v>03.01.031.0</v>
      </c>
      <c r="C25" s="12" t="s">
        <v>301</v>
      </c>
      <c r="D25" s="13" t="s">
        <v>352</v>
      </c>
      <c r="E25" s="13" t="s">
        <v>353</v>
      </c>
      <c r="F25" s="13">
        <v>5350</v>
      </c>
      <c r="G25" s="13" t="s">
        <v>29</v>
      </c>
      <c r="H25" s="13" t="str">
        <f t="shared" si="2"/>
        <v>Raquel Ortiz Pelaez</v>
      </c>
      <c r="I25" s="12"/>
      <c r="J25" s="13" t="str">
        <f t="shared" si="3"/>
        <v xml:space="preserve"> - 659031545</v>
      </c>
      <c r="K25" s="13"/>
      <c r="L25" s="13" t="str">
        <f t="shared" si="4"/>
        <v>rortiz@haya.es</v>
      </c>
      <c r="M25" s="14" t="str">
        <f t="shared" si="5"/>
        <v>MAD01</v>
      </c>
      <c r="N25" s="13" t="str">
        <f t="shared" si="6"/>
        <v>Calle Medina de Pomar 27; 28042 Madrid</v>
      </c>
      <c r="O25" s="12"/>
      <c r="P25" s="12" t="str">
        <f t="shared" si="7"/>
        <v>Portatil</v>
      </c>
      <c r="Q25" s="14" t="str">
        <f t="shared" si="8"/>
        <v>Sí</v>
      </c>
      <c r="R25" s="12" t="str">
        <f t="shared" si="9"/>
        <v>Sí</v>
      </c>
      <c r="S25" s="14" t="str">
        <f t="shared" si="10"/>
        <v>Madrid</v>
      </c>
      <c r="T25" s="14"/>
      <c r="U25" s="14"/>
      <c r="V25" s="12"/>
      <c r="W25" s="12"/>
      <c r="X25" s="14"/>
      <c r="Y25" s="12"/>
      <c r="Z25" s="15"/>
      <c r="AA25" s="16">
        <f>IF(OR($G25="RESP",$G25="CAN",$G25="BCAN",$G25="Ext. HRE"),"-",COUNTIFS(PRUEBAS_PARTICIPANTES,H25,PRUEBAS_NOMBRE,'Call Tree HRE 2018'!AA$2))</f>
        <v>0</v>
      </c>
      <c r="AB25" s="16">
        <f>IF(OR($G25="RESP",$G25="CAN",$G25="BCAN",$G25="Ext. HRE"),"-",COUNTIFS(PRUEBAS_PARTICIPANTES,H25,PRUEBAS_NOMBRE,'Call Tree HRE 2018'!AB$2))</f>
        <v>0</v>
      </c>
      <c r="AC25" s="16">
        <f>IF(OR($G25="RESP",$G25="CAN",$G25="BCAN",$G25="Ext. HRE"),"-",COUNTIFS(PRUEBAS_PARTICIPANTES,H25,PRUEBAS_NOMBRE,'Call Tree HRE 2018'!AC$2))</f>
        <v>0</v>
      </c>
      <c r="AD25" s="14" t="str">
        <f t="shared" si="11"/>
        <v>No</v>
      </c>
    </row>
    <row r="26" spans="1:30" ht="46.5" x14ac:dyDescent="0.35">
      <c r="A26" s="12" t="str">
        <f t="shared" si="0"/>
        <v>03.031.01.0</v>
      </c>
      <c r="B26" s="12" t="str">
        <f t="shared" si="1"/>
        <v>03.01.031.0</v>
      </c>
      <c r="C26" s="12" t="s">
        <v>301</v>
      </c>
      <c r="D26" s="13" t="s">
        <v>352</v>
      </c>
      <c r="E26" s="13" t="s">
        <v>353</v>
      </c>
      <c r="F26" s="13">
        <v>3814</v>
      </c>
      <c r="G26" s="13" t="s">
        <v>29</v>
      </c>
      <c r="H26" s="13" t="str">
        <f t="shared" si="2"/>
        <v>Marco Selleri</v>
      </c>
      <c r="I26" s="12"/>
      <c r="J26" s="13" t="str">
        <f t="shared" si="3"/>
        <v xml:space="preserve"> - 681084141</v>
      </c>
      <c r="K26" s="13"/>
      <c r="L26" s="13" t="str">
        <f t="shared" si="4"/>
        <v>mselleri@haya.es</v>
      </c>
      <c r="M26" s="14" t="str">
        <f t="shared" si="5"/>
        <v>MAD01</v>
      </c>
      <c r="N26" s="13" t="str">
        <f t="shared" si="6"/>
        <v>Calle Medina de Pomar 27; 28042 Madrid</v>
      </c>
      <c r="O26" s="12"/>
      <c r="P26" s="12" t="str">
        <f t="shared" si="7"/>
        <v>Portatil</v>
      </c>
      <c r="Q26" s="14" t="str">
        <f t="shared" si="8"/>
        <v>Sí</v>
      </c>
      <c r="R26" s="12" t="str">
        <f t="shared" si="9"/>
        <v>Sí</v>
      </c>
      <c r="S26" s="14" t="str">
        <f t="shared" si="10"/>
        <v>Madrid</v>
      </c>
      <c r="T26" s="14"/>
      <c r="U26" s="14"/>
      <c r="V26" s="12"/>
      <c r="W26" s="12"/>
      <c r="X26" s="14"/>
      <c r="Y26" s="12"/>
      <c r="Z26" s="15"/>
      <c r="AA26" s="16">
        <f>IF(OR($G26="RESP",$G26="CAN",$G26="BCAN",$G26="Ext. HRE"),"-",COUNTIFS(PRUEBAS_PARTICIPANTES,H26,PRUEBAS_NOMBRE,'Call Tree HRE 2018'!AA$2))</f>
        <v>0</v>
      </c>
      <c r="AB26" s="16">
        <f>IF(OR($G26="RESP",$G26="CAN",$G26="BCAN",$G26="Ext. HRE"),"-",COUNTIFS(PRUEBAS_PARTICIPANTES,H26,PRUEBAS_NOMBRE,'Call Tree HRE 2018'!AB$2))</f>
        <v>0</v>
      </c>
      <c r="AC26" s="16">
        <f>IF(OR($G26="RESP",$G26="CAN",$G26="BCAN",$G26="Ext. HRE"),"-",COUNTIFS(PRUEBAS_PARTICIPANTES,H26,PRUEBAS_NOMBRE,'Call Tree HRE 2018'!AC$2))</f>
        <v>0</v>
      </c>
      <c r="AD26" s="14" t="str">
        <f t="shared" si="11"/>
        <v>No</v>
      </c>
    </row>
    <row r="27" spans="1:30" ht="46.5" x14ac:dyDescent="0.35">
      <c r="A27" s="12" t="str">
        <f t="shared" si="0"/>
        <v>03.031.01.0</v>
      </c>
      <c r="B27" s="12" t="str">
        <f t="shared" si="1"/>
        <v>03.01.031.0</v>
      </c>
      <c r="C27" s="12" t="s">
        <v>301</v>
      </c>
      <c r="D27" s="13" t="s">
        <v>352</v>
      </c>
      <c r="E27" s="13" t="s">
        <v>353</v>
      </c>
      <c r="F27" s="13">
        <v>2534</v>
      </c>
      <c r="G27" s="13" t="s">
        <v>29</v>
      </c>
      <c r="H27" s="13" t="str">
        <f t="shared" si="2"/>
        <v>Nicolas Generoso Barajas</v>
      </c>
      <c r="I27" s="12"/>
      <c r="J27" s="13" t="str">
        <f t="shared" si="3"/>
        <v xml:space="preserve"> - 672431633</v>
      </c>
      <c r="K27" s="13"/>
      <c r="L27" s="13" t="str">
        <f t="shared" si="4"/>
        <v>ngeneroso@haya.es</v>
      </c>
      <c r="M27" s="14" t="str">
        <f t="shared" si="5"/>
        <v>MAD01</v>
      </c>
      <c r="N27" s="13" t="str">
        <f t="shared" si="6"/>
        <v>Calle Medina de Pomar 27; 28042 Madrid</v>
      </c>
      <c r="O27" s="12"/>
      <c r="P27" s="12" t="str">
        <f t="shared" si="7"/>
        <v>Portatil</v>
      </c>
      <c r="Q27" s="14" t="str">
        <f t="shared" si="8"/>
        <v>Sí</v>
      </c>
      <c r="R27" s="12" t="str">
        <f t="shared" si="9"/>
        <v>Sí</v>
      </c>
      <c r="S27" s="14" t="str">
        <f t="shared" si="10"/>
        <v>Madrid</v>
      </c>
      <c r="T27" s="14"/>
      <c r="U27" s="14"/>
      <c r="V27" s="12"/>
      <c r="W27" s="12"/>
      <c r="X27" s="14"/>
      <c r="Y27" s="12"/>
      <c r="Z27" s="15"/>
      <c r="AA27" s="16">
        <f>IF(OR($G27="RESP",$G27="CAN",$G27="BCAN",$G27="Ext. HRE"),"-",COUNTIFS(PRUEBAS_PARTICIPANTES,H27,PRUEBAS_NOMBRE,'Call Tree HRE 2018'!AA$2))</f>
        <v>0</v>
      </c>
      <c r="AB27" s="16">
        <f>IF(OR($G27="RESP",$G27="CAN",$G27="BCAN",$G27="Ext. HRE"),"-",COUNTIFS(PRUEBAS_PARTICIPANTES,H27,PRUEBAS_NOMBRE,'Call Tree HRE 2018'!AB$2))</f>
        <v>0</v>
      </c>
      <c r="AC27" s="16">
        <f>IF(OR($G27="RESP",$G27="CAN",$G27="BCAN",$G27="Ext. HRE"),"-",COUNTIFS(PRUEBAS_PARTICIPANTES,H27,PRUEBAS_NOMBRE,'Call Tree HRE 2018'!AC$2))</f>
        <v>0</v>
      </c>
      <c r="AD27" s="14" t="str">
        <f t="shared" si="11"/>
        <v>No</v>
      </c>
    </row>
    <row r="28" spans="1:30" ht="46.5" x14ac:dyDescent="0.35">
      <c r="A28" s="12" t="str">
        <f t="shared" si="0"/>
        <v>03.031.01.0</v>
      </c>
      <c r="B28" s="12" t="str">
        <f t="shared" si="1"/>
        <v>03.01.031.0</v>
      </c>
      <c r="C28" s="12" t="s">
        <v>301</v>
      </c>
      <c r="D28" s="13" t="s">
        <v>352</v>
      </c>
      <c r="E28" s="13" t="s">
        <v>353</v>
      </c>
      <c r="F28" s="13">
        <v>4742</v>
      </c>
      <c r="G28" s="13" t="s">
        <v>29</v>
      </c>
      <c r="H28" s="13" t="str">
        <f t="shared" si="2"/>
        <v>Luis Gomez Cabezas</v>
      </c>
      <c r="I28" s="12"/>
      <c r="J28" s="13" t="str">
        <f t="shared" si="3"/>
        <v xml:space="preserve"> - 686863652</v>
      </c>
      <c r="K28" s="13"/>
      <c r="L28" s="13" t="str">
        <f t="shared" si="4"/>
        <v>lgomezc@haya.es</v>
      </c>
      <c r="M28" s="14" t="str">
        <f t="shared" si="5"/>
        <v>MAD01</v>
      </c>
      <c r="N28" s="13" t="str">
        <f t="shared" si="6"/>
        <v>Calle Medina de Pomar 27; 28042 Madrid</v>
      </c>
      <c r="O28" s="12"/>
      <c r="P28" s="12" t="str">
        <f t="shared" si="7"/>
        <v>Portatil</v>
      </c>
      <c r="Q28" s="14" t="str">
        <f t="shared" si="8"/>
        <v>Sí</v>
      </c>
      <c r="R28" s="12" t="str">
        <f t="shared" si="9"/>
        <v>Sí</v>
      </c>
      <c r="S28" s="14" t="str">
        <f t="shared" si="10"/>
        <v>Madrid</v>
      </c>
      <c r="T28" s="14"/>
      <c r="U28" s="14"/>
      <c r="V28" s="12"/>
      <c r="W28" s="12"/>
      <c r="X28" s="14"/>
      <c r="Y28" s="12"/>
      <c r="Z28" s="15"/>
      <c r="AA28" s="16">
        <f>IF(OR($G28="RESP",$G28="CAN",$G28="BCAN",$G28="Ext. HRE"),"-",COUNTIFS(PRUEBAS_PARTICIPANTES,H28,PRUEBAS_NOMBRE,'Call Tree HRE 2018'!AA$2))</f>
        <v>0</v>
      </c>
      <c r="AB28" s="16">
        <f>IF(OR($G28="RESP",$G28="CAN",$G28="BCAN",$G28="Ext. HRE"),"-",COUNTIFS(PRUEBAS_PARTICIPANTES,H28,PRUEBAS_NOMBRE,'Call Tree HRE 2018'!AB$2))</f>
        <v>0</v>
      </c>
      <c r="AC28" s="16">
        <f>IF(OR($G28="RESP",$G28="CAN",$G28="BCAN",$G28="Ext. HRE"),"-",COUNTIFS(PRUEBAS_PARTICIPANTES,H28,PRUEBAS_NOMBRE,'Call Tree HRE 2018'!AC$2))</f>
        <v>0</v>
      </c>
      <c r="AD28" s="14" t="str">
        <f t="shared" si="11"/>
        <v>No</v>
      </c>
    </row>
    <row r="29" spans="1:30" ht="46.5" x14ac:dyDescent="0.35">
      <c r="A29" s="12" t="str">
        <f t="shared" si="0"/>
        <v>03.032.02.1</v>
      </c>
      <c r="B29" s="12" t="str">
        <f t="shared" si="1"/>
        <v>03.02.032.1</v>
      </c>
      <c r="C29" s="12" t="s">
        <v>301</v>
      </c>
      <c r="D29" s="13" t="s">
        <v>354</v>
      </c>
      <c r="E29" s="13" t="s">
        <v>355</v>
      </c>
      <c r="F29" s="13">
        <v>60</v>
      </c>
      <c r="G29" s="13" t="s">
        <v>29</v>
      </c>
      <c r="H29" s="13" t="str">
        <f t="shared" si="2"/>
        <v>Juan Manuel Monterde Gimeno</v>
      </c>
      <c r="I29" s="12"/>
      <c r="J29" s="13" t="str">
        <f t="shared" si="3"/>
        <v xml:space="preserve"> - 676960612</v>
      </c>
      <c r="K29" s="13"/>
      <c r="L29" s="13" t="str">
        <f t="shared" si="4"/>
        <v>jmg@haya.es</v>
      </c>
      <c r="M29" s="14" t="str">
        <f t="shared" si="5"/>
        <v>VAL01</v>
      </c>
      <c r="N29" s="13" t="str">
        <f t="shared" si="6"/>
        <v>Av. Cardenal Benlloch, 67 6º; 46021 Valencia</v>
      </c>
      <c r="O29" s="12"/>
      <c r="P29" s="12" t="str">
        <f t="shared" si="7"/>
        <v>Sobremesa</v>
      </c>
      <c r="Q29" s="14" t="str">
        <f t="shared" si="8"/>
        <v>Sí</v>
      </c>
      <c r="R29" s="12" t="str">
        <f t="shared" si="9"/>
        <v>Sí</v>
      </c>
      <c r="S29" s="14" t="str">
        <f t="shared" si="10"/>
        <v>Valencia</v>
      </c>
      <c r="T29" s="14"/>
      <c r="U29" s="14"/>
      <c r="V29" s="12"/>
      <c r="W29" s="12"/>
      <c r="X29" s="14"/>
      <c r="Y29" s="12"/>
      <c r="Z29" s="15"/>
      <c r="AA29" s="16">
        <f>IF(OR($G29="RESP",$G29="CAN",$G29="BCAN",$G29="Ext. HRE"),"-",COUNTIFS(PRUEBAS_PARTICIPANTES,H29,PRUEBAS_NOMBRE,'Call Tree HRE 2018'!AA$2))</f>
        <v>0</v>
      </c>
      <c r="AB29" s="16">
        <f>IF(OR($G29="RESP",$G29="CAN",$G29="BCAN",$G29="Ext. HRE"),"-",COUNTIFS(PRUEBAS_PARTICIPANTES,H29,PRUEBAS_NOMBRE,'Call Tree HRE 2018'!AB$2))</f>
        <v>0</v>
      </c>
      <c r="AC29" s="16">
        <f>IF(OR($G29="RESP",$G29="CAN",$G29="BCAN",$G29="Ext. HRE"),"-",COUNTIFS(PRUEBAS_PARTICIPANTES,H29,PRUEBAS_NOMBRE,'Call Tree HRE 2018'!AC$2))</f>
        <v>0</v>
      </c>
      <c r="AD29" s="14" t="str">
        <f t="shared" si="11"/>
        <v>No</v>
      </c>
    </row>
    <row r="30" spans="1:30" ht="46.5" x14ac:dyDescent="0.35">
      <c r="A30" s="12" t="str">
        <f t="shared" si="0"/>
        <v>03.083.03.0</v>
      </c>
      <c r="B30" s="12" t="str">
        <f t="shared" si="1"/>
        <v>03.03.083.0</v>
      </c>
      <c r="C30" s="12" t="s">
        <v>301</v>
      </c>
      <c r="D30" s="13" t="s">
        <v>356</v>
      </c>
      <c r="E30" s="13" t="s">
        <v>357</v>
      </c>
      <c r="F30" s="13">
        <v>5954</v>
      </c>
      <c r="G30" s="13" t="s">
        <v>33</v>
      </c>
      <c r="H30" s="13" t="str">
        <f t="shared" si="2"/>
        <v>Juan Jose Garcia Andres</v>
      </c>
      <c r="I30" s="12"/>
      <c r="J30" s="13" t="str">
        <f t="shared" si="3"/>
        <v xml:space="preserve"> - 649003092</v>
      </c>
      <c r="K30" s="13"/>
      <c r="L30" s="13" t="str">
        <f t="shared" si="4"/>
        <v>jgarciaa@haya.es</v>
      </c>
      <c r="M30" s="14" t="str">
        <f t="shared" si="5"/>
        <v>MAD01</v>
      </c>
      <c r="N30" s="13" t="str">
        <f t="shared" si="6"/>
        <v>Calle Medina de Pomar 27; 28042 Madrid</v>
      </c>
      <c r="O30" s="12"/>
      <c r="P30" s="12" t="str">
        <f t="shared" si="7"/>
        <v>Portatil</v>
      </c>
      <c r="Q30" s="14" t="str">
        <f t="shared" si="8"/>
        <v>Sí</v>
      </c>
      <c r="R30" s="12" t="str">
        <f t="shared" si="9"/>
        <v>Sí</v>
      </c>
      <c r="S30" s="14" t="str">
        <f t="shared" si="10"/>
        <v>Madrid</v>
      </c>
      <c r="T30" s="14"/>
      <c r="U30" s="14"/>
      <c r="V30" s="12"/>
      <c r="W30" s="12"/>
      <c r="X30" s="14"/>
      <c r="Y30" s="12"/>
      <c r="Z30" s="15"/>
      <c r="AA30" s="16">
        <f>IF(OR($G30="RESP",$G30="CAN",$G30="BCAN",$G30="Ext. HRE"),"-",COUNTIFS(PRUEBAS_PARTICIPANTES,H30,PRUEBAS_NOMBRE,'Call Tree HRE 2018'!AA$2))</f>
        <v>0</v>
      </c>
      <c r="AB30" s="16">
        <f>IF(OR($G30="RESP",$G30="CAN",$G30="BCAN",$G30="Ext. HRE"),"-",COUNTIFS(PRUEBAS_PARTICIPANTES,H30,PRUEBAS_NOMBRE,'Call Tree HRE 2018'!AB$2))</f>
        <v>0</v>
      </c>
      <c r="AC30" s="16">
        <f>IF(OR($G30="RESP",$G30="CAN",$G30="BCAN",$G30="Ext. HRE"),"-",COUNTIFS(PRUEBAS_PARTICIPANTES,H30,PRUEBAS_NOMBRE,'Call Tree HRE 2018'!AC$2))</f>
        <v>0</v>
      </c>
      <c r="AD30" s="14" t="str">
        <f t="shared" si="11"/>
        <v>No</v>
      </c>
    </row>
    <row r="31" spans="1:30" x14ac:dyDescent="0.35">
      <c r="N31" s="18"/>
      <c r="O31" s="5"/>
      <c r="P31" s="19"/>
      <c r="Q31" s="5"/>
    </row>
    <row r="32" spans="1:30" x14ac:dyDescent="0.35">
      <c r="C32" s="17"/>
      <c r="N32" s="18"/>
      <c r="O32" s="5"/>
      <c r="P32" s="19"/>
      <c r="Q32" s="5"/>
    </row>
  </sheetData>
  <autoFilter ref="A2:AD30" xr:uid="{EA854FE3-1A3E-4CA2-9809-9B969BE3206F}">
    <sortState xmlns:xlrd2="http://schemas.microsoft.com/office/spreadsheetml/2017/richdata2" ref="A3:AD30">
      <sortCondition ref="A2:A611"/>
    </sortState>
  </autoFilter>
  <mergeCells count="3">
    <mergeCell ref="T1:Z1"/>
    <mergeCell ref="K1:S1"/>
    <mergeCell ref="AA1:AD1"/>
  </mergeCells>
  <conditionalFormatting sqref="AD3:AD30">
    <cfRule type="cellIs" dxfId="13" priority="97" operator="equal">
      <formula>"No"</formula>
    </cfRule>
  </conditionalFormatting>
  <conditionalFormatting sqref="T3:Z98">
    <cfRule type="expression" dxfId="12" priority="99">
      <formula>$G3="RESP"</formula>
    </cfRule>
    <cfRule type="expression" dxfId="11" priority="100">
      <formula>OR($G3="CAT",$G3="BCAT")</formula>
    </cfRule>
    <cfRule type="expression" dxfId="10" priority="101">
      <formula>OR($G3="4h",$G3="12h",$G3="24h",$G3="48h",$G3="1s",$G3="2s")</formula>
    </cfRule>
    <cfRule type="expression" dxfId="9" priority="102">
      <formula>OR($G3="Backup1",$G3="Backup2",$G3="Backup3")</formula>
    </cfRule>
  </conditionalFormatting>
  <conditionalFormatting sqref="A3:B30">
    <cfRule type="expression" dxfId="8" priority="6">
      <formula>AND(MID($B3,LEN($B3),1)="0",$G3&lt;&gt;"RESP",$G3&lt;&gt;"CAT",$G3&lt;&gt;"BCAT")</formula>
    </cfRule>
  </conditionalFormatting>
  <conditionalFormatting sqref="AD22:AD30">
    <cfRule type="cellIs" dxfId="7" priority="98" operator="equal">
      <formula>"Sí"</formula>
    </cfRule>
  </conditionalFormatting>
  <conditionalFormatting sqref="C3:S30">
    <cfRule type="expression" dxfId="6" priority="1">
      <formula>$G3="RESP"</formula>
    </cfRule>
    <cfRule type="expression" dxfId="5" priority="2">
      <formula>OR($G3="CAT",$G3="BCAT")</formula>
    </cfRule>
    <cfRule type="expression" dxfId="4" priority="3">
      <formula>OR($G3="4h",$G3="12h",$G3="24h",$G3="48h",$G3="1s",$G3="2s")</formula>
    </cfRule>
    <cfRule type="expression" dxfId="3" priority="4">
      <formula>OR($G3="Backup1",$G3="Backup2",$G3="Backup3")</formula>
    </cfRule>
    <cfRule type="expression" dxfId="2" priority="5">
      <formula>OR($G3="Ext. Área",$G3="Ext. HRE")</formula>
    </cfRule>
  </conditionalFormatting>
  <conditionalFormatting sqref="AA3:AD98">
    <cfRule type="iconSet" priority="4224">
      <iconSet iconSet="3Symbols2" showValue="0">
        <cfvo type="percent" val="0"/>
        <cfvo type="num" val="0" gte="0"/>
        <cfvo type="num" val="1"/>
      </iconSet>
    </cfRule>
  </conditionalFormatting>
  <dataValidations count="2">
    <dataValidation type="list" allowBlank="1" showInputMessage="1" showErrorMessage="1" sqref="T3:T8 T12:T15 T22:T23 T26:T27 T18:T20" xr:uid="{73E9D94B-3B66-4F0B-B37E-A78FE93259A4}">
      <formula1>"Sí,No"</formula1>
    </dataValidation>
    <dataValidation type="list" allowBlank="1" showInputMessage="1" showErrorMessage="1" sqref="F31:F32 G33:G37 G3:G30" xr:uid="{00000000-0002-0000-0000-000000000000}">
      <formula1>LISTADO_CRITICIDADES</formula1>
    </dataValidation>
  </dataValidations>
  <pageMargins left="0.19685039370078741" right="0.19685039370078741" top="0.39370078740157483" bottom="0.39370078740157483" header="0.19685039370078741" footer="0.19685039370078741"/>
  <pageSetup paperSize="9" scale="31" fitToHeight="0" orientation="landscape" r:id="rId1"/>
  <headerFooter>
    <oddFooter>&amp;C&amp;P de &amp;N&amp;R&amp;F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1:AE8"/>
  <sheetViews>
    <sheetView topLeftCell="A2" zoomScale="90" zoomScaleNormal="90" zoomScalePageLayoutView="85" workbookViewId="0">
      <selection activeCell="D14" sqref="D14"/>
    </sheetView>
  </sheetViews>
  <sheetFormatPr baseColWidth="10" defaultColWidth="11.36328125" defaultRowHeight="14.5" x14ac:dyDescent="0.35"/>
  <cols>
    <col min="1" max="1" width="54" style="20" bestFit="1" customWidth="1"/>
    <col min="2" max="26" width="6.26953125" style="20" customWidth="1"/>
    <col min="27" max="27" width="6.08984375" style="20" bestFit="1" customWidth="1"/>
    <col min="28" max="29" width="6.6328125" style="20" bestFit="1" customWidth="1"/>
    <col min="30" max="31" width="5.26953125" style="20" bestFit="1" customWidth="1"/>
    <col min="32" max="16384" width="11.36328125" style="20"/>
  </cols>
  <sheetData>
    <row r="1" spans="1:31" ht="18.75" hidden="1" customHeight="1" thickBot="1" x14ac:dyDescent="0.4">
      <c r="A1" s="28" t="s">
        <v>41</v>
      </c>
      <c r="B1" s="20" t="s">
        <v>42</v>
      </c>
      <c r="C1" s="20" t="s">
        <v>42</v>
      </c>
      <c r="D1" s="20" t="s">
        <v>42</v>
      </c>
      <c r="E1" s="20" t="s">
        <v>42</v>
      </c>
      <c r="F1" s="20" t="s">
        <v>42</v>
      </c>
      <c r="G1" s="20" t="s">
        <v>43</v>
      </c>
      <c r="H1" s="20" t="s">
        <v>43</v>
      </c>
      <c r="I1" s="20" t="s">
        <v>43</v>
      </c>
      <c r="J1" s="20" t="s">
        <v>43</v>
      </c>
      <c r="K1" s="20" t="s">
        <v>43</v>
      </c>
      <c r="L1" s="20" t="s">
        <v>44</v>
      </c>
      <c r="M1" s="20" t="s">
        <v>44</v>
      </c>
      <c r="N1" s="20" t="s">
        <v>44</v>
      </c>
      <c r="O1" s="20" t="s">
        <v>44</v>
      </c>
      <c r="P1" s="20" t="s">
        <v>44</v>
      </c>
    </row>
    <row r="2" spans="1:31" ht="16.5" customHeight="1" x14ac:dyDescent="0.35">
      <c r="A2" s="95" t="s">
        <v>39</v>
      </c>
      <c r="B2" s="97" t="s">
        <v>42</v>
      </c>
      <c r="C2" s="97"/>
      <c r="D2" s="97"/>
      <c r="E2" s="97"/>
      <c r="F2" s="97"/>
      <c r="G2" s="97"/>
      <c r="H2" s="98" t="s">
        <v>43</v>
      </c>
      <c r="I2" s="98"/>
      <c r="J2" s="98"/>
      <c r="K2" s="98"/>
      <c r="L2" s="98"/>
      <c r="M2" s="98"/>
      <c r="N2" s="99" t="s">
        <v>44</v>
      </c>
      <c r="O2" s="99"/>
      <c r="P2" s="99"/>
      <c r="Q2" s="99"/>
      <c r="R2" s="99"/>
      <c r="S2" s="99"/>
      <c r="T2" s="100" t="s">
        <v>45</v>
      </c>
      <c r="U2" s="100"/>
      <c r="V2" s="100"/>
      <c r="W2" s="100"/>
      <c r="X2" s="100"/>
      <c r="Y2" s="100"/>
      <c r="Z2" s="101" t="s">
        <v>46</v>
      </c>
      <c r="AA2" s="101"/>
      <c r="AB2" s="101"/>
      <c r="AC2" s="101"/>
      <c r="AD2" s="101"/>
      <c r="AE2" s="101"/>
    </row>
    <row r="3" spans="1:31" x14ac:dyDescent="0.35">
      <c r="A3" s="95"/>
      <c r="B3" s="22" t="s">
        <v>29</v>
      </c>
      <c r="C3" s="22" t="s">
        <v>302</v>
      </c>
      <c r="D3" s="22" t="s">
        <v>36</v>
      </c>
      <c r="E3" s="22" t="s">
        <v>31</v>
      </c>
      <c r="F3" s="22" t="s">
        <v>32</v>
      </c>
      <c r="G3" s="22" t="s">
        <v>33</v>
      </c>
      <c r="H3" s="22" t="s">
        <v>29</v>
      </c>
      <c r="I3" s="22" t="s">
        <v>302</v>
      </c>
      <c r="J3" s="22" t="s">
        <v>36</v>
      </c>
      <c r="K3" s="22" t="s">
        <v>31</v>
      </c>
      <c r="L3" s="22" t="s">
        <v>32</v>
      </c>
      <c r="M3" s="22" t="s">
        <v>33</v>
      </c>
      <c r="N3" s="22" t="s">
        <v>29</v>
      </c>
      <c r="O3" s="22" t="s">
        <v>302</v>
      </c>
      <c r="P3" s="22" t="s">
        <v>36</v>
      </c>
      <c r="Q3" s="22" t="s">
        <v>31</v>
      </c>
      <c r="R3" s="22" t="s">
        <v>32</v>
      </c>
      <c r="S3" s="22" t="s">
        <v>33</v>
      </c>
      <c r="T3" s="22" t="s">
        <v>29</v>
      </c>
      <c r="U3" s="22" t="s">
        <v>302</v>
      </c>
      <c r="V3" s="22" t="s">
        <v>36</v>
      </c>
      <c r="W3" s="22" t="s">
        <v>31</v>
      </c>
      <c r="X3" s="22" t="s">
        <v>32</v>
      </c>
      <c r="Y3" s="22" t="s">
        <v>33</v>
      </c>
      <c r="Z3" s="22" t="s">
        <v>29</v>
      </c>
      <c r="AA3" s="22" t="s">
        <v>302</v>
      </c>
      <c r="AB3" s="22" t="s">
        <v>36</v>
      </c>
      <c r="AC3" s="22" t="s">
        <v>31</v>
      </c>
      <c r="AD3" s="22" t="s">
        <v>32</v>
      </c>
      <c r="AE3" s="22" t="s">
        <v>33</v>
      </c>
    </row>
    <row r="4" spans="1:31" x14ac:dyDescent="0.35">
      <c r="A4" s="49" t="s">
        <v>299</v>
      </c>
      <c r="B4" s="24">
        <f>SUM('Resumen sin acumular'!$B4:B4)</f>
        <v>0</v>
      </c>
      <c r="C4" s="24">
        <f>SUM('Resumen sin acumular'!$B4:C4)</f>
        <v>0</v>
      </c>
      <c r="D4" s="24">
        <f>SUM('Resumen sin acumular'!$B4:D4)</f>
        <v>5</v>
      </c>
      <c r="E4" s="24">
        <f>SUM('Resumen sin acumular'!$B4:E4)</f>
        <v>5</v>
      </c>
      <c r="F4" s="24">
        <f>SUM('Resumen sin acumular'!$B4:F4)</f>
        <v>5</v>
      </c>
      <c r="G4" s="24">
        <f>SUM('Resumen sin acumular'!$B4:G4)</f>
        <v>5</v>
      </c>
      <c r="H4" s="24">
        <f>SUM('Resumen sin acumular'!$H4:H4)</f>
        <v>0</v>
      </c>
      <c r="I4" s="24">
        <f>SUM('Resumen sin acumular'!$H4:I4)</f>
        <v>0</v>
      </c>
      <c r="J4" s="24">
        <f>SUM('Resumen sin acumular'!$H4:J4)</f>
        <v>0</v>
      </c>
      <c r="K4" s="24">
        <f>SUM('Resumen sin acumular'!$H4:K4)</f>
        <v>0</v>
      </c>
      <c r="L4" s="24">
        <f>SUM('Resumen sin acumular'!$H4:L4)</f>
        <v>0</v>
      </c>
      <c r="M4" s="24">
        <f>SUM('Resumen sin acumular'!$H4:M4)</f>
        <v>0</v>
      </c>
      <c r="N4" s="24">
        <f>SUM('Resumen sin acumular'!$N4:N4)</f>
        <v>0</v>
      </c>
      <c r="O4" s="24">
        <f>SUM('Resumen sin acumular'!$N4:O4)</f>
        <v>0</v>
      </c>
      <c r="P4" s="24">
        <f>SUM('Resumen sin acumular'!$N4:P4)</f>
        <v>0</v>
      </c>
      <c r="Q4" s="24">
        <f>SUM('Resumen sin acumular'!$N4:Q4)</f>
        <v>0</v>
      </c>
      <c r="R4" s="24">
        <f>SUM('Resumen sin acumular'!$N4:R4)</f>
        <v>0</v>
      </c>
      <c r="S4" s="24">
        <f>SUM('Resumen sin acumular'!$N4:S4)</f>
        <v>0</v>
      </c>
      <c r="T4" s="24">
        <f>SUM('Resumen sin acumular'!$T4:T4)</f>
        <v>0</v>
      </c>
      <c r="U4" s="24">
        <f>SUM('Resumen sin acumular'!$T4:U4)</f>
        <v>0</v>
      </c>
      <c r="V4" s="24">
        <f>SUM('Resumen sin acumular'!$T4:V4)</f>
        <v>0</v>
      </c>
      <c r="W4" s="24">
        <f>SUM('Resumen sin acumular'!$T4:W4)</f>
        <v>0</v>
      </c>
      <c r="X4" s="24">
        <f>SUM('Resumen sin acumular'!$T4:X4)</f>
        <v>0</v>
      </c>
      <c r="Y4" s="24">
        <f>SUM('Resumen sin acumular'!$T4:Y4)</f>
        <v>0</v>
      </c>
      <c r="Z4" s="24">
        <f>SUM('Resumen sin acumular'!$Z4:Z4)</f>
        <v>0</v>
      </c>
      <c r="AA4" s="24">
        <f>SUM('Resumen sin acumular'!$Z4:AA4)</f>
        <v>0</v>
      </c>
      <c r="AB4" s="24">
        <f>SUM('Resumen sin acumular'!$Z4:AB4)</f>
        <v>5</v>
      </c>
      <c r="AC4" s="24">
        <f>SUM('Resumen sin acumular'!$Z4:AC4)</f>
        <v>5</v>
      </c>
      <c r="AD4" s="24">
        <f>SUM('Resumen sin acumular'!$Z4:AD4)</f>
        <v>5</v>
      </c>
      <c r="AE4" s="24">
        <f>SUM('Resumen sin acumular'!$Z4:AE4)</f>
        <v>5</v>
      </c>
    </row>
    <row r="5" spans="1:31" ht="16.5" customHeight="1" x14ac:dyDescent="0.35">
      <c r="A5" s="49" t="s">
        <v>300</v>
      </c>
      <c r="B5" s="24">
        <f>SUM('Resumen sin acumular'!$B5:B5)</f>
        <v>2</v>
      </c>
      <c r="C5" s="24">
        <f>SUM('Resumen sin acumular'!$B5:C5)</f>
        <v>2</v>
      </c>
      <c r="D5" s="24">
        <f>SUM('Resumen sin acumular'!$B5:D5)</f>
        <v>2</v>
      </c>
      <c r="E5" s="24">
        <f>SUM('Resumen sin acumular'!$B5:E5)</f>
        <v>2</v>
      </c>
      <c r="F5" s="24">
        <f>SUM('Resumen sin acumular'!$B5:F5)</f>
        <v>2</v>
      </c>
      <c r="G5" s="24">
        <f>SUM('Resumen sin acumular'!$B5:G5)</f>
        <v>2</v>
      </c>
      <c r="H5" s="24">
        <f>SUM('Resumen sin acumular'!$H5:H5)</f>
        <v>1</v>
      </c>
      <c r="I5" s="24">
        <f>SUM('Resumen sin acumular'!$H5:I5)</f>
        <v>1</v>
      </c>
      <c r="J5" s="24">
        <f>SUM('Resumen sin acumular'!$H5:J5)</f>
        <v>2</v>
      </c>
      <c r="K5" s="24">
        <f>SUM('Resumen sin acumular'!$H5:K5)</f>
        <v>2</v>
      </c>
      <c r="L5" s="24">
        <f>SUM('Resumen sin acumular'!$H5:L5)</f>
        <v>2</v>
      </c>
      <c r="M5" s="24">
        <f>SUM('Resumen sin acumular'!$H5:M5)</f>
        <v>2</v>
      </c>
      <c r="N5" s="24">
        <f>SUM('Resumen sin acumular'!$N5:N5)</f>
        <v>0</v>
      </c>
      <c r="O5" s="24">
        <f>SUM('Resumen sin acumular'!$N5:O5)</f>
        <v>0</v>
      </c>
      <c r="P5" s="24">
        <f>SUM('Resumen sin acumular'!$N5:P5)</f>
        <v>0</v>
      </c>
      <c r="Q5" s="24">
        <f>SUM('Resumen sin acumular'!$N5:Q5)</f>
        <v>0</v>
      </c>
      <c r="R5" s="24">
        <f>SUM('Resumen sin acumular'!$N5:R5)</f>
        <v>0</v>
      </c>
      <c r="S5" s="24">
        <f>SUM('Resumen sin acumular'!$N5:S5)</f>
        <v>0</v>
      </c>
      <c r="T5" s="24">
        <f>SUM('Resumen sin acumular'!$T5:T5)</f>
        <v>0</v>
      </c>
      <c r="U5" s="24">
        <f>SUM('Resumen sin acumular'!$T5:U5)</f>
        <v>0</v>
      </c>
      <c r="V5" s="24">
        <f>SUM('Resumen sin acumular'!$T5:V5)</f>
        <v>0</v>
      </c>
      <c r="W5" s="24">
        <f>SUM('Resumen sin acumular'!$T5:W5)</f>
        <v>0</v>
      </c>
      <c r="X5" s="24">
        <f>SUM('Resumen sin acumular'!$T5:X5)</f>
        <v>0</v>
      </c>
      <c r="Y5" s="24">
        <f>SUM('Resumen sin acumular'!$T5:Y5)</f>
        <v>0</v>
      </c>
      <c r="Z5" s="24">
        <f>SUM('Resumen sin acumular'!$Z5:Z5)</f>
        <v>3</v>
      </c>
      <c r="AA5" s="24">
        <f>SUM('Resumen sin acumular'!$Z5:AA5)</f>
        <v>3</v>
      </c>
      <c r="AB5" s="24">
        <f>SUM('Resumen sin acumular'!$Z5:AB5)</f>
        <v>4</v>
      </c>
      <c r="AC5" s="24">
        <f>SUM('Resumen sin acumular'!$Z5:AC5)</f>
        <v>4</v>
      </c>
      <c r="AD5" s="24">
        <f>SUM('Resumen sin acumular'!$Z5:AD5)</f>
        <v>4</v>
      </c>
      <c r="AE5" s="24">
        <f>SUM('Resumen sin acumular'!$Z5:AE5)</f>
        <v>4</v>
      </c>
    </row>
    <row r="6" spans="1:31" ht="16.5" customHeight="1" x14ac:dyDescent="0.35">
      <c r="A6" s="49" t="s">
        <v>301</v>
      </c>
      <c r="B6" s="24">
        <f>SUM('Resumen sin acumular'!$B6:B6)</f>
        <v>8</v>
      </c>
      <c r="C6" s="24">
        <f>SUM('Resumen sin acumular'!$B6:C6)</f>
        <v>8</v>
      </c>
      <c r="D6" s="24">
        <f>SUM('Resumen sin acumular'!$B6:D6)</f>
        <v>8</v>
      </c>
      <c r="E6" s="24">
        <f>SUM('Resumen sin acumular'!$B6:E6)</f>
        <v>8</v>
      </c>
      <c r="F6" s="24">
        <f>SUM('Resumen sin acumular'!$B6:F6)</f>
        <v>8</v>
      </c>
      <c r="G6" s="24">
        <f>SUM('Resumen sin acumular'!$B6:G6)</f>
        <v>9</v>
      </c>
      <c r="H6" s="24">
        <f>SUM('Resumen sin acumular'!$H6:H6)</f>
        <v>1</v>
      </c>
      <c r="I6" s="24">
        <f>SUM('Resumen sin acumular'!$H6:I6)</f>
        <v>1</v>
      </c>
      <c r="J6" s="24">
        <f>SUM('Resumen sin acumular'!$H6:J6)</f>
        <v>1</v>
      </c>
      <c r="K6" s="24">
        <f>SUM('Resumen sin acumular'!$H6:K6)</f>
        <v>1</v>
      </c>
      <c r="L6" s="24">
        <f>SUM('Resumen sin acumular'!$H6:L6)</f>
        <v>1</v>
      </c>
      <c r="M6" s="24">
        <f>SUM('Resumen sin acumular'!$H6:M6)</f>
        <v>1</v>
      </c>
      <c r="N6" s="24">
        <f>SUM('Resumen sin acumular'!$N6:N6)</f>
        <v>0</v>
      </c>
      <c r="O6" s="24">
        <f>SUM('Resumen sin acumular'!$N6:O6)</f>
        <v>0</v>
      </c>
      <c r="P6" s="24">
        <f>SUM('Resumen sin acumular'!$N6:P6)</f>
        <v>0</v>
      </c>
      <c r="Q6" s="24">
        <f>SUM('Resumen sin acumular'!$N6:Q6)</f>
        <v>0</v>
      </c>
      <c r="R6" s="24">
        <f>SUM('Resumen sin acumular'!$N6:R6)</f>
        <v>0</v>
      </c>
      <c r="S6" s="24">
        <f>SUM('Resumen sin acumular'!$N6:S6)</f>
        <v>0</v>
      </c>
      <c r="T6" s="24">
        <f>SUM('Resumen sin acumular'!$T6:T6)</f>
        <v>0</v>
      </c>
      <c r="U6" s="24">
        <f>SUM('Resumen sin acumular'!$T6:U6)</f>
        <v>0</v>
      </c>
      <c r="V6" s="24">
        <f>SUM('Resumen sin acumular'!$T6:V6)</f>
        <v>0</v>
      </c>
      <c r="W6" s="24">
        <f>SUM('Resumen sin acumular'!$T6:W6)</f>
        <v>0</v>
      </c>
      <c r="X6" s="24">
        <f>SUM('Resumen sin acumular'!$T6:X6)</f>
        <v>0</v>
      </c>
      <c r="Y6" s="24">
        <f>SUM('Resumen sin acumular'!$T6:Y6)</f>
        <v>0</v>
      </c>
      <c r="Z6" s="24">
        <f>SUM('Resumen sin acumular'!$Z6:Z6)</f>
        <v>9</v>
      </c>
      <c r="AA6" s="24">
        <f>SUM('Resumen sin acumular'!$Z6:AA6)</f>
        <v>9</v>
      </c>
      <c r="AB6" s="24">
        <f>SUM('Resumen sin acumular'!$Z6:AB6)</f>
        <v>9</v>
      </c>
      <c r="AC6" s="24">
        <f>SUM('Resumen sin acumular'!$Z6:AC6)</f>
        <v>9</v>
      </c>
      <c r="AD6" s="24">
        <f>SUM('Resumen sin acumular'!$Z6:AD6)</f>
        <v>9</v>
      </c>
      <c r="AE6" s="24">
        <f>SUM('Resumen sin acumular'!$Z6:AE6)</f>
        <v>10</v>
      </c>
    </row>
    <row r="7" spans="1:31" ht="16.5" customHeight="1" x14ac:dyDescent="0.35">
      <c r="A7" s="21" t="s">
        <v>47</v>
      </c>
      <c r="B7" s="22">
        <f t="shared" ref="B7:AE7" si="0">SUM(B4:B6)</f>
        <v>10</v>
      </c>
      <c r="C7" s="22">
        <f t="shared" si="0"/>
        <v>10</v>
      </c>
      <c r="D7" s="22">
        <f t="shared" si="0"/>
        <v>15</v>
      </c>
      <c r="E7" s="22">
        <f t="shared" si="0"/>
        <v>15</v>
      </c>
      <c r="F7" s="22">
        <f t="shared" si="0"/>
        <v>15</v>
      </c>
      <c r="G7" s="22">
        <f t="shared" si="0"/>
        <v>16</v>
      </c>
      <c r="H7" s="22">
        <f t="shared" si="0"/>
        <v>2</v>
      </c>
      <c r="I7" s="22">
        <f t="shared" ref="I7" si="1">SUM(I4:I6)</f>
        <v>2</v>
      </c>
      <c r="J7" s="22">
        <f t="shared" si="0"/>
        <v>3</v>
      </c>
      <c r="K7" s="22">
        <f t="shared" si="0"/>
        <v>3</v>
      </c>
      <c r="L7" s="22">
        <f t="shared" si="0"/>
        <v>3</v>
      </c>
      <c r="M7" s="22">
        <f t="shared" si="0"/>
        <v>3</v>
      </c>
      <c r="N7" s="22">
        <f t="shared" si="0"/>
        <v>0</v>
      </c>
      <c r="O7" s="22">
        <f t="shared" ref="O7" si="2">SUM(O4:O6)</f>
        <v>0</v>
      </c>
      <c r="P7" s="22">
        <f t="shared" si="0"/>
        <v>0</v>
      </c>
      <c r="Q7" s="22">
        <f t="shared" si="0"/>
        <v>0</v>
      </c>
      <c r="R7" s="22">
        <f t="shared" si="0"/>
        <v>0</v>
      </c>
      <c r="S7" s="22">
        <f t="shared" si="0"/>
        <v>0</v>
      </c>
      <c r="T7" s="22">
        <f t="shared" si="0"/>
        <v>0</v>
      </c>
      <c r="U7" s="22">
        <f t="shared" ref="U7" si="3">SUM(U4:U6)</f>
        <v>0</v>
      </c>
      <c r="V7" s="22">
        <f t="shared" si="0"/>
        <v>0</v>
      </c>
      <c r="W7" s="22">
        <f t="shared" si="0"/>
        <v>0</v>
      </c>
      <c r="X7" s="22">
        <f t="shared" si="0"/>
        <v>0</v>
      </c>
      <c r="Y7" s="22">
        <f t="shared" si="0"/>
        <v>0</v>
      </c>
      <c r="Z7" s="22">
        <f t="shared" si="0"/>
        <v>12</v>
      </c>
      <c r="AA7" s="22">
        <f t="shared" ref="AA7" si="4">SUM(AA4:AA6)</f>
        <v>12</v>
      </c>
      <c r="AB7" s="22">
        <f t="shared" si="0"/>
        <v>18</v>
      </c>
      <c r="AC7" s="22">
        <f t="shared" si="0"/>
        <v>18</v>
      </c>
      <c r="AD7" s="22">
        <f t="shared" si="0"/>
        <v>18</v>
      </c>
      <c r="AE7" s="22">
        <f t="shared" si="0"/>
        <v>19</v>
      </c>
    </row>
    <row r="8" spans="1:31" ht="16.5" customHeight="1" x14ac:dyDescent="0.35">
      <c r="A8" s="82" t="s">
        <v>48</v>
      </c>
      <c r="B8" s="96">
        <f>'Resumen sin acumular'!B8:G8</f>
        <v>24</v>
      </c>
      <c r="C8" s="96"/>
      <c r="D8" s="96"/>
      <c r="E8" s="96"/>
      <c r="F8" s="96"/>
      <c r="G8" s="96"/>
      <c r="H8" s="96">
        <f>'Resumen sin acumular'!H8:M8</f>
        <v>3</v>
      </c>
      <c r="I8" s="96"/>
      <c r="J8" s="96"/>
      <c r="K8" s="96"/>
      <c r="L8" s="96"/>
      <c r="M8" s="96"/>
      <c r="N8" s="96">
        <f>'Resumen sin acumular'!N8:S8</f>
        <v>0</v>
      </c>
      <c r="O8" s="96"/>
      <c r="P8" s="96"/>
      <c r="Q8" s="96"/>
      <c r="R8" s="96"/>
      <c r="S8" s="96"/>
      <c r="T8" s="96">
        <f>'Resumen sin acumular'!T8:Y8</f>
        <v>0</v>
      </c>
      <c r="U8" s="96"/>
      <c r="V8" s="96"/>
      <c r="W8" s="96"/>
      <c r="X8" s="96"/>
      <c r="Y8" s="96"/>
      <c r="Z8" s="96">
        <f>'Resumen sin acumular'!Z8:AE8</f>
        <v>27</v>
      </c>
      <c r="AA8" s="96"/>
      <c r="AB8" s="96"/>
      <c r="AC8" s="96"/>
      <c r="AD8" s="96"/>
      <c r="AE8" s="96"/>
    </row>
  </sheetData>
  <mergeCells count="11">
    <mergeCell ref="A2:A3"/>
    <mergeCell ref="T8:Y8"/>
    <mergeCell ref="Z8:AE8"/>
    <mergeCell ref="B2:G2"/>
    <mergeCell ref="B8:G8"/>
    <mergeCell ref="H8:M8"/>
    <mergeCell ref="H2:M2"/>
    <mergeCell ref="N2:S2"/>
    <mergeCell ref="T2:Y2"/>
    <mergeCell ref="Z2:AE2"/>
    <mergeCell ref="N8:S8"/>
  </mergeCells>
  <pageMargins left="0.7" right="0.7" top="0.75" bottom="0.75" header="0.3" footer="0.3"/>
  <pageSetup paperSize="9" scale="52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E8"/>
  <sheetViews>
    <sheetView topLeftCell="A2" zoomScale="90" zoomScaleNormal="90" zoomScalePageLayoutView="85" workbookViewId="0">
      <selection activeCell="S6" sqref="S6"/>
    </sheetView>
  </sheetViews>
  <sheetFormatPr baseColWidth="10" defaultColWidth="11.36328125" defaultRowHeight="14.5" x14ac:dyDescent="0.35"/>
  <cols>
    <col min="1" max="1" width="53.36328125" style="20" bestFit="1" customWidth="1"/>
    <col min="2" max="26" width="6.26953125" style="20" customWidth="1"/>
    <col min="27" max="27" width="5.81640625" style="20" bestFit="1" customWidth="1"/>
    <col min="28" max="29" width="6.26953125" style="20" bestFit="1" customWidth="1"/>
    <col min="30" max="30" width="4.36328125" style="20" bestFit="1" customWidth="1"/>
    <col min="31" max="31" width="4.81640625" style="20" bestFit="1" customWidth="1"/>
    <col min="32" max="16384" width="11.36328125" style="20"/>
  </cols>
  <sheetData>
    <row r="1" spans="1:31" ht="11.25" hidden="1" customHeight="1" thickBot="1" x14ac:dyDescent="0.4">
      <c r="A1" s="28" t="s">
        <v>41</v>
      </c>
      <c r="B1" s="20" t="s">
        <v>42</v>
      </c>
      <c r="C1" s="20" t="s">
        <v>42</v>
      </c>
      <c r="D1" s="20" t="s">
        <v>42</v>
      </c>
      <c r="E1" s="20" t="s">
        <v>42</v>
      </c>
      <c r="F1" s="20" t="s">
        <v>42</v>
      </c>
      <c r="G1" s="20" t="s">
        <v>43</v>
      </c>
      <c r="H1" s="20" t="s">
        <v>43</v>
      </c>
      <c r="I1" s="20" t="s">
        <v>43</v>
      </c>
      <c r="J1" s="20" t="s">
        <v>43</v>
      </c>
      <c r="K1" s="20" t="s">
        <v>43</v>
      </c>
      <c r="L1" s="20" t="s">
        <v>44</v>
      </c>
      <c r="M1" s="20" t="s">
        <v>44</v>
      </c>
      <c r="N1" s="20" t="s">
        <v>44</v>
      </c>
      <c r="O1" s="20" t="s">
        <v>44</v>
      </c>
      <c r="P1" s="20" t="s">
        <v>44</v>
      </c>
    </row>
    <row r="2" spans="1:31" ht="16.5" customHeight="1" x14ac:dyDescent="0.35">
      <c r="A2" s="95" t="s">
        <v>39</v>
      </c>
      <c r="B2" s="97" t="s">
        <v>42</v>
      </c>
      <c r="C2" s="97"/>
      <c r="D2" s="97"/>
      <c r="E2" s="97"/>
      <c r="F2" s="97"/>
      <c r="G2" s="97"/>
      <c r="H2" s="98" t="s">
        <v>43</v>
      </c>
      <c r="I2" s="98"/>
      <c r="J2" s="98"/>
      <c r="K2" s="98"/>
      <c r="L2" s="98"/>
      <c r="M2" s="98"/>
      <c r="N2" s="99" t="s">
        <v>44</v>
      </c>
      <c r="O2" s="99"/>
      <c r="P2" s="99"/>
      <c r="Q2" s="99"/>
      <c r="R2" s="99"/>
      <c r="S2" s="99"/>
      <c r="T2" s="100" t="s">
        <v>45</v>
      </c>
      <c r="U2" s="100"/>
      <c r="V2" s="100"/>
      <c r="W2" s="100"/>
      <c r="X2" s="100"/>
      <c r="Y2" s="100"/>
      <c r="Z2" s="101" t="s">
        <v>46</v>
      </c>
      <c r="AA2" s="101"/>
      <c r="AB2" s="101"/>
      <c r="AC2" s="101"/>
      <c r="AD2" s="101"/>
      <c r="AE2" s="101"/>
    </row>
    <row r="3" spans="1:31" x14ac:dyDescent="0.35">
      <c r="A3" s="95"/>
      <c r="B3" s="22" t="s">
        <v>29</v>
      </c>
      <c r="C3" s="22" t="s">
        <v>302</v>
      </c>
      <c r="D3" s="22" t="s">
        <v>36</v>
      </c>
      <c r="E3" s="22" t="s">
        <v>31</v>
      </c>
      <c r="F3" s="22" t="s">
        <v>32</v>
      </c>
      <c r="G3" s="22" t="s">
        <v>33</v>
      </c>
      <c r="H3" s="22" t="s">
        <v>29</v>
      </c>
      <c r="I3" s="22" t="s">
        <v>302</v>
      </c>
      <c r="J3" s="22" t="s">
        <v>36</v>
      </c>
      <c r="K3" s="22" t="s">
        <v>31</v>
      </c>
      <c r="L3" s="22" t="s">
        <v>32</v>
      </c>
      <c r="M3" s="22" t="s">
        <v>33</v>
      </c>
      <c r="N3" s="22" t="s">
        <v>29</v>
      </c>
      <c r="O3" s="22" t="s">
        <v>302</v>
      </c>
      <c r="P3" s="22" t="s">
        <v>36</v>
      </c>
      <c r="Q3" s="22" t="s">
        <v>31</v>
      </c>
      <c r="R3" s="22" t="s">
        <v>32</v>
      </c>
      <c r="S3" s="22" t="s">
        <v>33</v>
      </c>
      <c r="T3" s="22" t="s">
        <v>29</v>
      </c>
      <c r="U3" s="22" t="s">
        <v>302</v>
      </c>
      <c r="V3" s="22" t="s">
        <v>36</v>
      </c>
      <c r="W3" s="22" t="s">
        <v>31</v>
      </c>
      <c r="X3" s="22" t="s">
        <v>32</v>
      </c>
      <c r="Y3" s="22" t="s">
        <v>33</v>
      </c>
      <c r="Z3" s="22" t="s">
        <v>29</v>
      </c>
      <c r="AA3" s="22" t="s">
        <v>302</v>
      </c>
      <c r="AB3" s="22" t="s">
        <v>36</v>
      </c>
      <c r="AC3" s="22" t="s">
        <v>31</v>
      </c>
      <c r="AD3" s="22" t="s">
        <v>32</v>
      </c>
      <c r="AE3" s="22" t="s">
        <v>33</v>
      </c>
    </row>
    <row r="4" spans="1:31" ht="16.5" customHeight="1" x14ac:dyDescent="0.35">
      <c r="A4" s="49" t="s">
        <v>299</v>
      </c>
      <c r="B4" s="24">
        <f>COUNTIFS(EQUIPOS,$A4,CRITICIDAD,B$3,PROVINCIAS,B$1)</f>
        <v>0</v>
      </c>
      <c r="C4" s="24">
        <f t="shared" ref="C4:H6" si="0">COUNTIFS(EQUIPOS,$A4,CRITICIDAD,C$3,PROVINCIAS,B$1)</f>
        <v>0</v>
      </c>
      <c r="D4" s="24">
        <f t="shared" si="0"/>
        <v>5</v>
      </c>
      <c r="E4" s="24">
        <f t="shared" si="0"/>
        <v>0</v>
      </c>
      <c r="F4" s="24">
        <f t="shared" si="0"/>
        <v>0</v>
      </c>
      <c r="G4" s="24">
        <f t="shared" si="0"/>
        <v>0</v>
      </c>
      <c r="H4" s="24">
        <f t="shared" si="0"/>
        <v>0</v>
      </c>
      <c r="I4" s="24">
        <f t="shared" ref="I4:N6" si="1">COUNTIFS(EQUIPOS,$A4,CRITICIDAD,I$3,PROVINCIAS,G$1)</f>
        <v>0</v>
      </c>
      <c r="J4" s="24">
        <f t="shared" si="1"/>
        <v>0</v>
      </c>
      <c r="K4" s="24">
        <f t="shared" si="1"/>
        <v>0</v>
      </c>
      <c r="L4" s="24">
        <f t="shared" si="1"/>
        <v>0</v>
      </c>
      <c r="M4" s="24">
        <f t="shared" si="1"/>
        <v>0</v>
      </c>
      <c r="N4" s="24">
        <f t="shared" si="1"/>
        <v>0</v>
      </c>
      <c r="O4" s="24">
        <f t="shared" ref="O4:S6" si="2">COUNTIFS(EQUIPOS,$A4,CRITICIDAD,O$3,PROVINCIAS,L$1)</f>
        <v>0</v>
      </c>
      <c r="P4" s="24">
        <f t="shared" si="2"/>
        <v>0</v>
      </c>
      <c r="Q4" s="24">
        <f t="shared" si="2"/>
        <v>0</v>
      </c>
      <c r="R4" s="24">
        <f t="shared" si="2"/>
        <v>0</v>
      </c>
      <c r="S4" s="24">
        <f t="shared" si="2"/>
        <v>0</v>
      </c>
      <c r="T4" s="24">
        <f t="shared" ref="T4:Y6" si="3">COUNTIFS(EQUIPOS,$A4,CRITICIDAD,T$3)-B4-H4-N4</f>
        <v>0</v>
      </c>
      <c r="U4" s="24">
        <f t="shared" si="3"/>
        <v>0</v>
      </c>
      <c r="V4" s="24">
        <f t="shared" si="3"/>
        <v>0</v>
      </c>
      <c r="W4" s="24">
        <f t="shared" si="3"/>
        <v>0</v>
      </c>
      <c r="X4" s="24">
        <f t="shared" si="3"/>
        <v>0</v>
      </c>
      <c r="Y4" s="24">
        <f t="shared" si="3"/>
        <v>0</v>
      </c>
      <c r="Z4" s="24">
        <f t="shared" ref="Z4:AE6" si="4">B4+H4+N4+T4</f>
        <v>0</v>
      </c>
      <c r="AA4" s="24">
        <f t="shared" si="4"/>
        <v>0</v>
      </c>
      <c r="AB4" s="24">
        <f t="shared" si="4"/>
        <v>5</v>
      </c>
      <c r="AC4" s="24">
        <f t="shared" si="4"/>
        <v>0</v>
      </c>
      <c r="AD4" s="24">
        <f t="shared" si="4"/>
        <v>0</v>
      </c>
      <c r="AE4" s="24">
        <f t="shared" si="4"/>
        <v>0</v>
      </c>
    </row>
    <row r="5" spans="1:31" ht="16.5" customHeight="1" x14ac:dyDescent="0.35">
      <c r="A5" s="49" t="s">
        <v>300</v>
      </c>
      <c r="B5" s="24">
        <f t="shared" ref="B5:B6" si="5">COUNTIFS(EQUIPOS,$A5,CRITICIDAD,B$3,PROVINCIAS,B$1)</f>
        <v>2</v>
      </c>
      <c r="C5" s="24">
        <f t="shared" si="0"/>
        <v>0</v>
      </c>
      <c r="D5" s="24">
        <f t="shared" si="0"/>
        <v>0</v>
      </c>
      <c r="E5" s="24">
        <f t="shared" si="0"/>
        <v>0</v>
      </c>
      <c r="F5" s="24">
        <f t="shared" si="0"/>
        <v>0</v>
      </c>
      <c r="G5" s="24">
        <f t="shared" si="0"/>
        <v>0</v>
      </c>
      <c r="H5" s="24">
        <f t="shared" si="0"/>
        <v>1</v>
      </c>
      <c r="I5" s="24">
        <f t="shared" si="1"/>
        <v>0</v>
      </c>
      <c r="J5" s="24">
        <f t="shared" si="1"/>
        <v>1</v>
      </c>
      <c r="K5" s="24">
        <f t="shared" si="1"/>
        <v>0</v>
      </c>
      <c r="L5" s="24">
        <f t="shared" si="1"/>
        <v>0</v>
      </c>
      <c r="M5" s="24">
        <f t="shared" si="1"/>
        <v>0</v>
      </c>
      <c r="N5" s="24">
        <f t="shared" si="1"/>
        <v>0</v>
      </c>
      <c r="O5" s="24">
        <f t="shared" si="2"/>
        <v>0</v>
      </c>
      <c r="P5" s="24">
        <f t="shared" si="2"/>
        <v>0</v>
      </c>
      <c r="Q5" s="24">
        <f t="shared" si="2"/>
        <v>0</v>
      </c>
      <c r="R5" s="24">
        <f t="shared" si="2"/>
        <v>0</v>
      </c>
      <c r="S5" s="24">
        <f t="shared" si="2"/>
        <v>0</v>
      </c>
      <c r="T5" s="24">
        <f t="shared" si="3"/>
        <v>0</v>
      </c>
      <c r="U5" s="24">
        <f t="shared" si="3"/>
        <v>0</v>
      </c>
      <c r="V5" s="24">
        <f t="shared" si="3"/>
        <v>0</v>
      </c>
      <c r="W5" s="24">
        <f t="shared" si="3"/>
        <v>0</v>
      </c>
      <c r="X5" s="24">
        <f t="shared" si="3"/>
        <v>0</v>
      </c>
      <c r="Y5" s="24">
        <f t="shared" si="3"/>
        <v>0</v>
      </c>
      <c r="Z5" s="24">
        <f t="shared" si="4"/>
        <v>3</v>
      </c>
      <c r="AA5" s="24">
        <f t="shared" si="4"/>
        <v>0</v>
      </c>
      <c r="AB5" s="24">
        <f t="shared" si="4"/>
        <v>1</v>
      </c>
      <c r="AC5" s="24">
        <f t="shared" si="4"/>
        <v>0</v>
      </c>
      <c r="AD5" s="24">
        <f t="shared" si="4"/>
        <v>0</v>
      </c>
      <c r="AE5" s="24">
        <f t="shared" si="4"/>
        <v>0</v>
      </c>
    </row>
    <row r="6" spans="1:31" ht="16.5" customHeight="1" x14ac:dyDescent="0.35">
      <c r="A6" s="49" t="s">
        <v>301</v>
      </c>
      <c r="B6" s="24">
        <f t="shared" si="5"/>
        <v>8</v>
      </c>
      <c r="C6" s="24">
        <f t="shared" si="0"/>
        <v>0</v>
      </c>
      <c r="D6" s="24">
        <f t="shared" si="0"/>
        <v>0</v>
      </c>
      <c r="E6" s="24">
        <f t="shared" si="0"/>
        <v>0</v>
      </c>
      <c r="F6" s="24">
        <f t="shared" si="0"/>
        <v>0</v>
      </c>
      <c r="G6" s="24">
        <f t="shared" si="0"/>
        <v>1</v>
      </c>
      <c r="H6" s="24">
        <f t="shared" si="0"/>
        <v>1</v>
      </c>
      <c r="I6" s="24">
        <f t="shared" si="1"/>
        <v>0</v>
      </c>
      <c r="J6" s="24">
        <f t="shared" si="1"/>
        <v>0</v>
      </c>
      <c r="K6" s="24">
        <f t="shared" si="1"/>
        <v>0</v>
      </c>
      <c r="L6" s="24">
        <f t="shared" si="1"/>
        <v>0</v>
      </c>
      <c r="M6" s="24">
        <f t="shared" si="1"/>
        <v>0</v>
      </c>
      <c r="N6" s="24">
        <f t="shared" si="1"/>
        <v>0</v>
      </c>
      <c r="O6" s="24">
        <f t="shared" si="2"/>
        <v>0</v>
      </c>
      <c r="P6" s="24">
        <f t="shared" si="2"/>
        <v>0</v>
      </c>
      <c r="Q6" s="24">
        <f t="shared" si="2"/>
        <v>0</v>
      </c>
      <c r="R6" s="24">
        <f t="shared" si="2"/>
        <v>0</v>
      </c>
      <c r="S6" s="24">
        <f t="shared" si="2"/>
        <v>0</v>
      </c>
      <c r="T6" s="24">
        <f t="shared" si="3"/>
        <v>0</v>
      </c>
      <c r="U6" s="24">
        <f t="shared" si="3"/>
        <v>0</v>
      </c>
      <c r="V6" s="24">
        <f t="shared" si="3"/>
        <v>0</v>
      </c>
      <c r="W6" s="24">
        <f t="shared" si="3"/>
        <v>0</v>
      </c>
      <c r="X6" s="24">
        <f t="shared" si="3"/>
        <v>0</v>
      </c>
      <c r="Y6" s="24">
        <f t="shared" si="3"/>
        <v>0</v>
      </c>
      <c r="Z6" s="24">
        <f t="shared" si="4"/>
        <v>9</v>
      </c>
      <c r="AA6" s="24">
        <f t="shared" si="4"/>
        <v>0</v>
      </c>
      <c r="AB6" s="24">
        <f t="shared" si="4"/>
        <v>0</v>
      </c>
      <c r="AC6" s="24">
        <f t="shared" si="4"/>
        <v>0</v>
      </c>
      <c r="AD6" s="24">
        <f t="shared" si="4"/>
        <v>0</v>
      </c>
      <c r="AE6" s="24">
        <f t="shared" si="4"/>
        <v>1</v>
      </c>
    </row>
    <row r="7" spans="1:31" ht="16.5" customHeight="1" x14ac:dyDescent="0.35">
      <c r="A7" s="21" t="s">
        <v>47</v>
      </c>
      <c r="B7" s="22">
        <f t="shared" ref="B7:AE7" si="6">SUM(B4:B6)</f>
        <v>10</v>
      </c>
      <c r="C7" s="22">
        <f t="shared" si="6"/>
        <v>0</v>
      </c>
      <c r="D7" s="22">
        <f t="shared" si="6"/>
        <v>5</v>
      </c>
      <c r="E7" s="22">
        <f t="shared" si="6"/>
        <v>0</v>
      </c>
      <c r="F7" s="22">
        <f t="shared" si="6"/>
        <v>0</v>
      </c>
      <c r="G7" s="22">
        <f t="shared" si="6"/>
        <v>1</v>
      </c>
      <c r="H7" s="22">
        <f t="shared" si="6"/>
        <v>2</v>
      </c>
      <c r="I7" s="22">
        <f t="shared" si="6"/>
        <v>0</v>
      </c>
      <c r="J7" s="22">
        <f t="shared" si="6"/>
        <v>1</v>
      </c>
      <c r="K7" s="22">
        <f t="shared" si="6"/>
        <v>0</v>
      </c>
      <c r="L7" s="22">
        <f t="shared" si="6"/>
        <v>0</v>
      </c>
      <c r="M7" s="22">
        <f t="shared" si="6"/>
        <v>0</v>
      </c>
      <c r="N7" s="22">
        <f t="shared" si="6"/>
        <v>0</v>
      </c>
      <c r="O7" s="22">
        <f t="shared" si="6"/>
        <v>0</v>
      </c>
      <c r="P7" s="22">
        <f t="shared" si="6"/>
        <v>0</v>
      </c>
      <c r="Q7" s="22">
        <f t="shared" si="6"/>
        <v>0</v>
      </c>
      <c r="R7" s="22">
        <f t="shared" si="6"/>
        <v>0</v>
      </c>
      <c r="S7" s="22">
        <f t="shared" si="6"/>
        <v>0</v>
      </c>
      <c r="T7" s="22">
        <f t="shared" si="6"/>
        <v>0</v>
      </c>
      <c r="U7" s="22">
        <f t="shared" si="6"/>
        <v>0</v>
      </c>
      <c r="V7" s="22">
        <f t="shared" si="6"/>
        <v>0</v>
      </c>
      <c r="W7" s="22">
        <f t="shared" si="6"/>
        <v>0</v>
      </c>
      <c r="X7" s="22">
        <f t="shared" si="6"/>
        <v>0</v>
      </c>
      <c r="Y7" s="22">
        <f t="shared" si="6"/>
        <v>0</v>
      </c>
      <c r="Z7" s="22">
        <f t="shared" si="6"/>
        <v>12</v>
      </c>
      <c r="AA7" s="22">
        <f t="shared" si="6"/>
        <v>0</v>
      </c>
      <c r="AB7" s="22">
        <f t="shared" si="6"/>
        <v>6</v>
      </c>
      <c r="AC7" s="22">
        <f t="shared" si="6"/>
        <v>0</v>
      </c>
      <c r="AD7" s="22">
        <f t="shared" si="6"/>
        <v>0</v>
      </c>
      <c r="AE7" s="22">
        <f t="shared" si="6"/>
        <v>1</v>
      </c>
    </row>
    <row r="8" spans="1:31" ht="16.5" customHeight="1" x14ac:dyDescent="0.35">
      <c r="A8" s="82" t="s">
        <v>48</v>
      </c>
      <c r="B8" s="96">
        <v>24</v>
      </c>
      <c r="C8" s="96"/>
      <c r="D8" s="96"/>
      <c r="E8" s="96"/>
      <c r="F8" s="96"/>
      <c r="G8" s="96"/>
      <c r="H8" s="96">
        <v>3</v>
      </c>
      <c r="I8" s="96"/>
      <c r="J8" s="96"/>
      <c r="K8" s="96"/>
      <c r="L8" s="96"/>
      <c r="M8" s="96"/>
      <c r="N8" s="96">
        <v>0</v>
      </c>
      <c r="O8" s="96"/>
      <c r="P8" s="96"/>
      <c r="Q8" s="96"/>
      <c r="R8" s="96"/>
      <c r="S8" s="96"/>
      <c r="T8" s="96">
        <v>0</v>
      </c>
      <c r="U8" s="96"/>
      <c r="V8" s="96"/>
      <c r="W8" s="96"/>
      <c r="X8" s="96"/>
      <c r="Y8" s="96"/>
      <c r="Z8" s="96">
        <f>SUM(B8:Y8)</f>
        <v>27</v>
      </c>
      <c r="AA8" s="96"/>
      <c r="AB8" s="96"/>
      <c r="AC8" s="96"/>
      <c r="AD8" s="96"/>
      <c r="AE8" s="96"/>
    </row>
  </sheetData>
  <mergeCells count="11">
    <mergeCell ref="A2:A3"/>
    <mergeCell ref="Z2:AE2"/>
    <mergeCell ref="B2:G2"/>
    <mergeCell ref="B8:G8"/>
    <mergeCell ref="H8:M8"/>
    <mergeCell ref="N8:S8"/>
    <mergeCell ref="T8:Y8"/>
    <mergeCell ref="Z8:AE8"/>
    <mergeCell ref="H2:M2"/>
    <mergeCell ref="N2:S2"/>
    <mergeCell ref="T2:Y2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Z870"/>
  <sheetViews>
    <sheetView zoomScale="85" zoomScaleNormal="85" workbookViewId="0">
      <selection activeCell="A2" sqref="A2"/>
    </sheetView>
  </sheetViews>
  <sheetFormatPr baseColWidth="10" defaultColWidth="11.36328125" defaultRowHeight="14.5" x14ac:dyDescent="0.35"/>
  <cols>
    <col min="1" max="1" width="11.7265625" style="20" bestFit="1" customWidth="1"/>
    <col min="2" max="2" width="18.6328125" style="20" bestFit="1" customWidth="1"/>
    <col min="3" max="3" width="14.36328125" style="20" customWidth="1"/>
    <col min="4" max="4" width="37" style="20" bestFit="1" customWidth="1"/>
    <col min="5" max="5" width="11.7265625" style="20" bestFit="1" customWidth="1"/>
    <col min="6" max="6" width="15" style="20" bestFit="1" customWidth="1"/>
    <col min="7" max="7" width="27.7265625" style="20" bestFit="1" customWidth="1"/>
    <col min="8" max="8" width="13" style="20" bestFit="1" customWidth="1"/>
    <col min="9" max="9" width="11.36328125" style="20"/>
    <col min="10" max="10" width="11.26953125" style="20" bestFit="1" customWidth="1"/>
    <col min="11" max="11" width="11.7265625" style="54" bestFit="1" customWidth="1"/>
    <col min="12" max="12" width="18.81640625" style="20" bestFit="1" customWidth="1"/>
    <col min="13" max="13" width="14.7265625" style="20" bestFit="1" customWidth="1"/>
    <col min="14" max="14" width="8.81640625" style="20" bestFit="1" customWidth="1"/>
    <col min="15" max="15" width="26.26953125" style="20" bestFit="1" customWidth="1"/>
    <col min="16" max="16" width="37" style="20" bestFit="1" customWidth="1"/>
    <col min="17" max="17" width="34.26953125" style="20" customWidth="1"/>
    <col min="18" max="18" width="28.26953125" style="20" bestFit="1" customWidth="1"/>
    <col min="19" max="19" width="30" style="20" bestFit="1" customWidth="1"/>
    <col min="20" max="20" width="38" style="20" bestFit="1" customWidth="1"/>
    <col min="21" max="21" width="32.26953125" style="20" bestFit="1" customWidth="1"/>
    <col min="22" max="22" width="50.81640625" style="20" bestFit="1" customWidth="1"/>
    <col min="23" max="23" width="64" style="20" bestFit="1" customWidth="1"/>
    <col min="24" max="24" width="26" style="20" bestFit="1" customWidth="1"/>
    <col min="25" max="25" width="11.7265625" style="20" bestFit="1" customWidth="1"/>
    <col min="26" max="26" width="18.7265625" style="20" bestFit="1" customWidth="1"/>
    <col min="27" max="16384" width="11.36328125" style="20"/>
  </cols>
  <sheetData>
    <row r="1" spans="1:26" x14ac:dyDescent="0.35">
      <c r="A1" s="39"/>
      <c r="B1" s="40" t="s">
        <v>119</v>
      </c>
      <c r="C1" s="41">
        <v>43249</v>
      </c>
      <c r="D1" s="39"/>
      <c r="F1" s="40" t="s">
        <v>120</v>
      </c>
      <c r="G1" s="41">
        <f>COUNTA(A3:A999)</f>
        <v>32</v>
      </c>
      <c r="H1" s="39"/>
      <c r="I1" s="39"/>
      <c r="J1" s="39"/>
      <c r="K1" s="42"/>
      <c r="L1" s="39"/>
      <c r="M1" s="39"/>
      <c r="N1" s="39"/>
      <c r="O1" s="39"/>
      <c r="P1" s="43"/>
      <c r="Q1" s="44"/>
      <c r="R1" s="44"/>
      <c r="S1" s="39"/>
      <c r="T1" s="44"/>
      <c r="U1" s="44"/>
      <c r="V1" s="39"/>
      <c r="W1" s="45"/>
      <c r="X1" s="45"/>
      <c r="Y1" s="39"/>
      <c r="Z1" s="39"/>
    </row>
    <row r="2" spans="1:26" x14ac:dyDescent="0.35">
      <c r="A2" s="46" t="s">
        <v>257</v>
      </c>
      <c r="B2" s="46" t="s">
        <v>121</v>
      </c>
      <c r="C2" s="46" t="s">
        <v>122</v>
      </c>
      <c r="D2" s="46" t="s">
        <v>123</v>
      </c>
      <c r="E2" s="46" t="s">
        <v>257</v>
      </c>
      <c r="F2" s="46" t="s">
        <v>124</v>
      </c>
      <c r="G2" s="46" t="s">
        <v>9</v>
      </c>
      <c r="H2" s="46" t="s">
        <v>125</v>
      </c>
      <c r="I2" s="46" t="s">
        <v>126</v>
      </c>
      <c r="J2" s="46" t="s">
        <v>127</v>
      </c>
      <c r="K2" s="47" t="s">
        <v>258</v>
      </c>
      <c r="L2" s="46" t="s">
        <v>128</v>
      </c>
      <c r="M2" s="46" t="s">
        <v>129</v>
      </c>
      <c r="N2" s="46" t="s">
        <v>130</v>
      </c>
      <c r="O2" s="46" t="s">
        <v>131</v>
      </c>
      <c r="P2" s="46" t="s">
        <v>9</v>
      </c>
      <c r="Q2" s="48" t="s">
        <v>259</v>
      </c>
      <c r="R2" s="48" t="s">
        <v>132</v>
      </c>
      <c r="S2" s="46" t="s">
        <v>133</v>
      </c>
      <c r="T2" s="48" t="s">
        <v>4</v>
      </c>
      <c r="U2" s="48" t="s">
        <v>260</v>
      </c>
      <c r="V2" s="46" t="s">
        <v>134</v>
      </c>
      <c r="W2" s="46" t="s">
        <v>135</v>
      </c>
      <c r="X2" s="46" t="s">
        <v>19</v>
      </c>
      <c r="Y2" s="46" t="s">
        <v>64</v>
      </c>
      <c r="Z2" s="46" t="s">
        <v>136</v>
      </c>
    </row>
    <row r="3" spans="1:26" x14ac:dyDescent="0.35">
      <c r="A3" s="49">
        <v>2533</v>
      </c>
      <c r="B3" s="49" t="s">
        <v>137</v>
      </c>
      <c r="C3" s="49" t="s">
        <v>141</v>
      </c>
      <c r="D3" s="49" t="s">
        <v>142</v>
      </c>
      <c r="E3" s="49">
        <v>2533</v>
      </c>
      <c r="F3" s="49" t="s">
        <v>143</v>
      </c>
      <c r="G3" s="49" t="s">
        <v>142</v>
      </c>
      <c r="H3" s="49" t="s">
        <v>319</v>
      </c>
      <c r="I3" s="49" t="s">
        <v>138</v>
      </c>
      <c r="J3" s="49" t="s">
        <v>139</v>
      </c>
      <c r="K3" s="49"/>
      <c r="L3" s="49"/>
      <c r="M3" s="49">
        <v>619500461</v>
      </c>
      <c r="N3" s="49">
        <v>91659</v>
      </c>
      <c r="O3" s="49" t="s">
        <v>144</v>
      </c>
      <c r="P3" s="49" t="s">
        <v>142</v>
      </c>
      <c r="Q3" s="49" t="s">
        <v>145</v>
      </c>
      <c r="R3" s="49"/>
      <c r="S3" s="49"/>
      <c r="T3" s="49"/>
      <c r="U3" s="49"/>
      <c r="V3" s="49" t="s">
        <v>146</v>
      </c>
      <c r="W3" s="49" t="s">
        <v>320</v>
      </c>
      <c r="X3" s="50" t="s">
        <v>42</v>
      </c>
      <c r="Y3" s="49">
        <v>2533</v>
      </c>
      <c r="Z3" s="50" t="str">
        <f>IF(OR(MID(O3,FIND("@",O3)+1,100)="haya.es",MID(O3,FIND("@",O3)+1,100)="hayatitulizacion.es"),"HRE","ETT/EXTERNO")</f>
        <v>HRE</v>
      </c>
    </row>
    <row r="4" spans="1:26" x14ac:dyDescent="0.35">
      <c r="A4" s="49">
        <v>4829</v>
      </c>
      <c r="B4" s="49" t="s">
        <v>137</v>
      </c>
      <c r="C4" s="49" t="s">
        <v>161</v>
      </c>
      <c r="D4" s="49" t="s">
        <v>162</v>
      </c>
      <c r="E4" s="49">
        <v>4829</v>
      </c>
      <c r="F4" s="49" t="s">
        <v>163</v>
      </c>
      <c r="G4" s="49" t="s">
        <v>162</v>
      </c>
      <c r="H4" s="49" t="s">
        <v>321</v>
      </c>
      <c r="I4" s="49" t="s">
        <v>138</v>
      </c>
      <c r="J4" s="49" t="s">
        <v>139</v>
      </c>
      <c r="K4" s="49"/>
      <c r="L4" s="49"/>
      <c r="M4" s="49">
        <v>650326677</v>
      </c>
      <c r="N4" s="49">
        <v>48131</v>
      </c>
      <c r="O4" s="49" t="s">
        <v>164</v>
      </c>
      <c r="P4" s="49" t="s">
        <v>162</v>
      </c>
      <c r="Q4" s="49" t="s">
        <v>145</v>
      </c>
      <c r="R4" s="49"/>
      <c r="S4" s="49"/>
      <c r="T4" s="49" t="s">
        <v>261</v>
      </c>
      <c r="U4" s="49"/>
      <c r="V4" s="49" t="s">
        <v>322</v>
      </c>
      <c r="W4" s="49" t="s">
        <v>320</v>
      </c>
      <c r="X4" s="50" t="s">
        <v>42</v>
      </c>
      <c r="Y4" s="49">
        <v>4829</v>
      </c>
      <c r="Z4" s="50" t="str">
        <f t="shared" ref="Z4:Z34" si="0">IF(OR(MID(O4,FIND("@",O4)+1,100)="haya.es",MID(O4,FIND("@",O4)+1,100)="hayatitulizacion.es"),"HRE","ETT/EXTERNO")</f>
        <v>HRE</v>
      </c>
    </row>
    <row r="5" spans="1:26" x14ac:dyDescent="0.35">
      <c r="A5" s="49">
        <v>5923</v>
      </c>
      <c r="B5" s="49" t="s">
        <v>137</v>
      </c>
      <c r="C5" s="49" t="s">
        <v>323</v>
      </c>
      <c r="D5" s="49" t="s">
        <v>324</v>
      </c>
      <c r="E5" s="49">
        <v>5923</v>
      </c>
      <c r="F5" s="49" t="s">
        <v>325</v>
      </c>
      <c r="G5" s="49" t="s">
        <v>324</v>
      </c>
      <c r="H5" s="49" t="s">
        <v>321</v>
      </c>
      <c r="I5" s="49" t="s">
        <v>138</v>
      </c>
      <c r="J5" s="49" t="s">
        <v>139</v>
      </c>
      <c r="K5" s="49"/>
      <c r="L5" s="49"/>
      <c r="M5" s="49">
        <v>686174859</v>
      </c>
      <c r="N5" s="49">
        <v>55943</v>
      </c>
      <c r="O5" s="49" t="s">
        <v>326</v>
      </c>
      <c r="P5" s="49" t="s">
        <v>324</v>
      </c>
      <c r="Q5" s="49" t="s">
        <v>145</v>
      </c>
      <c r="R5" s="49"/>
      <c r="S5" s="49"/>
      <c r="T5" s="49" t="s">
        <v>173</v>
      </c>
      <c r="U5" s="49"/>
      <c r="V5" s="49"/>
      <c r="W5" s="49" t="s">
        <v>320</v>
      </c>
      <c r="X5" s="50" t="s">
        <v>42</v>
      </c>
      <c r="Y5" s="49">
        <v>5923</v>
      </c>
      <c r="Z5" s="50" t="str">
        <f t="shared" si="0"/>
        <v>HRE</v>
      </c>
    </row>
    <row r="6" spans="1:26" x14ac:dyDescent="0.35">
      <c r="A6" s="49">
        <v>3565</v>
      </c>
      <c r="B6" s="49" t="s">
        <v>137</v>
      </c>
      <c r="C6" s="49" t="s">
        <v>174</v>
      </c>
      <c r="D6" s="49" t="s">
        <v>175</v>
      </c>
      <c r="E6" s="49">
        <v>3565</v>
      </c>
      <c r="F6" s="49" t="s">
        <v>176</v>
      </c>
      <c r="G6" s="49" t="s">
        <v>175</v>
      </c>
      <c r="H6" s="49" t="s">
        <v>321</v>
      </c>
      <c r="I6" s="49" t="s">
        <v>138</v>
      </c>
      <c r="J6" s="49" t="s">
        <v>139</v>
      </c>
      <c r="K6" s="49"/>
      <c r="L6" s="49"/>
      <c r="M6" s="49">
        <v>689426605</v>
      </c>
      <c r="N6" s="49">
        <v>50182</v>
      </c>
      <c r="O6" s="49" t="s">
        <v>177</v>
      </c>
      <c r="P6" s="49" t="s">
        <v>175</v>
      </c>
      <c r="Q6" s="49" t="s">
        <v>145</v>
      </c>
      <c r="R6" s="49"/>
      <c r="S6" s="49"/>
      <c r="T6" s="49" t="s">
        <v>173</v>
      </c>
      <c r="U6" s="49"/>
      <c r="V6" s="49" t="s">
        <v>178</v>
      </c>
      <c r="W6" s="49" t="s">
        <v>320</v>
      </c>
      <c r="X6" s="50" t="s">
        <v>42</v>
      </c>
      <c r="Y6" s="49">
        <v>3565</v>
      </c>
      <c r="Z6" s="50" t="str">
        <f t="shared" si="0"/>
        <v>HRE</v>
      </c>
    </row>
    <row r="7" spans="1:26" x14ac:dyDescent="0.35">
      <c r="A7" s="49">
        <v>4814</v>
      </c>
      <c r="B7" s="49" t="s">
        <v>137</v>
      </c>
      <c r="C7" s="49" t="s">
        <v>169</v>
      </c>
      <c r="D7" s="49" t="s">
        <v>170</v>
      </c>
      <c r="E7" s="49">
        <v>4814</v>
      </c>
      <c r="F7" s="49" t="s">
        <v>171</v>
      </c>
      <c r="G7" s="49" t="s">
        <v>170</v>
      </c>
      <c r="H7" s="49" t="s">
        <v>321</v>
      </c>
      <c r="I7" s="49" t="s">
        <v>138</v>
      </c>
      <c r="J7" s="49" t="s">
        <v>139</v>
      </c>
      <c r="K7" s="49"/>
      <c r="L7" s="49"/>
      <c r="M7" s="49">
        <v>681201035</v>
      </c>
      <c r="N7" s="49">
        <v>52058</v>
      </c>
      <c r="O7" s="49" t="s">
        <v>172</v>
      </c>
      <c r="P7" s="49" t="s">
        <v>170</v>
      </c>
      <c r="Q7" s="49" t="s">
        <v>145</v>
      </c>
      <c r="R7" s="49"/>
      <c r="S7" s="49"/>
      <c r="T7" s="49" t="s">
        <v>173</v>
      </c>
      <c r="U7" s="49" t="s">
        <v>183</v>
      </c>
      <c r="V7" s="49"/>
      <c r="W7" s="49" t="s">
        <v>320</v>
      </c>
      <c r="X7" s="50" t="s">
        <v>42</v>
      </c>
      <c r="Y7" s="49">
        <v>4814</v>
      </c>
      <c r="Z7" s="50" t="str">
        <f t="shared" si="0"/>
        <v>HRE</v>
      </c>
    </row>
    <row r="8" spans="1:26" x14ac:dyDescent="0.35">
      <c r="A8" s="49">
        <v>3660</v>
      </c>
      <c r="B8" s="49" t="s">
        <v>137</v>
      </c>
      <c r="C8" s="49" t="s">
        <v>184</v>
      </c>
      <c r="D8" s="49" t="s">
        <v>185</v>
      </c>
      <c r="E8" s="49">
        <v>3660</v>
      </c>
      <c r="F8" s="49" t="s">
        <v>186</v>
      </c>
      <c r="G8" s="49" t="s">
        <v>185</v>
      </c>
      <c r="H8" s="49" t="s">
        <v>321</v>
      </c>
      <c r="I8" s="49" t="s">
        <v>138</v>
      </c>
      <c r="J8" s="49" t="s">
        <v>139</v>
      </c>
      <c r="K8" s="49"/>
      <c r="L8" s="49"/>
      <c r="M8" s="49">
        <v>682204667</v>
      </c>
      <c r="N8" s="49">
        <v>71428</v>
      </c>
      <c r="O8" s="49" t="s">
        <v>187</v>
      </c>
      <c r="P8" s="49" t="s">
        <v>185</v>
      </c>
      <c r="Q8" s="49" t="s">
        <v>145</v>
      </c>
      <c r="R8" s="49"/>
      <c r="S8" s="49"/>
      <c r="T8" s="49" t="s">
        <v>173</v>
      </c>
      <c r="U8" s="49" t="s">
        <v>183</v>
      </c>
      <c r="V8" s="49"/>
      <c r="W8" s="49" t="s">
        <v>320</v>
      </c>
      <c r="X8" s="50" t="s">
        <v>42</v>
      </c>
      <c r="Y8" s="49">
        <v>3660</v>
      </c>
      <c r="Z8" s="50" t="str">
        <f t="shared" si="0"/>
        <v>HRE</v>
      </c>
    </row>
    <row r="9" spans="1:26" x14ac:dyDescent="0.35">
      <c r="A9" s="49">
        <v>5034</v>
      </c>
      <c r="B9" s="49" t="s">
        <v>137</v>
      </c>
      <c r="C9" s="49" t="s">
        <v>262</v>
      </c>
      <c r="D9" s="49" t="s">
        <v>263</v>
      </c>
      <c r="E9" s="49">
        <v>5034</v>
      </c>
      <c r="F9" s="49" t="s">
        <v>264</v>
      </c>
      <c r="G9" s="49" t="s">
        <v>263</v>
      </c>
      <c r="H9" s="49" t="s">
        <v>321</v>
      </c>
      <c r="I9" s="49" t="s">
        <v>138</v>
      </c>
      <c r="J9" s="49" t="s">
        <v>139</v>
      </c>
      <c r="K9" s="49"/>
      <c r="L9" s="49"/>
      <c r="M9" s="49">
        <v>669151172</v>
      </c>
      <c r="N9" s="49">
        <v>78717</v>
      </c>
      <c r="O9" s="49" t="s">
        <v>265</v>
      </c>
      <c r="P9" s="49" t="s">
        <v>263</v>
      </c>
      <c r="Q9" s="49" t="s">
        <v>145</v>
      </c>
      <c r="R9" s="49"/>
      <c r="S9" s="49"/>
      <c r="T9" s="49" t="s">
        <v>173</v>
      </c>
      <c r="U9" s="49" t="s">
        <v>183</v>
      </c>
      <c r="V9" s="49"/>
      <c r="W9" s="49" t="s">
        <v>320</v>
      </c>
      <c r="X9" s="50" t="s">
        <v>42</v>
      </c>
      <c r="Y9" s="49">
        <v>5034</v>
      </c>
      <c r="Z9" s="50" t="str">
        <f t="shared" si="0"/>
        <v>HRE</v>
      </c>
    </row>
    <row r="10" spans="1:26" x14ac:dyDescent="0.35">
      <c r="A10" s="49">
        <v>2629</v>
      </c>
      <c r="B10" s="49" t="s">
        <v>137</v>
      </c>
      <c r="C10" s="49" t="s">
        <v>188</v>
      </c>
      <c r="D10" s="49" t="s">
        <v>189</v>
      </c>
      <c r="E10" s="49">
        <v>2629</v>
      </c>
      <c r="F10" s="49" t="s">
        <v>190</v>
      </c>
      <c r="G10" s="49" t="s">
        <v>189</v>
      </c>
      <c r="H10" s="49" t="s">
        <v>319</v>
      </c>
      <c r="I10" s="49" t="s">
        <v>138</v>
      </c>
      <c r="J10" s="49" t="s">
        <v>139</v>
      </c>
      <c r="K10" s="49"/>
      <c r="L10" s="49"/>
      <c r="M10" s="49">
        <v>689430442</v>
      </c>
      <c r="N10" s="49">
        <v>51071</v>
      </c>
      <c r="O10" s="49" t="s">
        <v>191</v>
      </c>
      <c r="P10" s="49" t="s">
        <v>189</v>
      </c>
      <c r="Q10" s="49" t="s">
        <v>145</v>
      </c>
      <c r="R10" s="49"/>
      <c r="S10" s="49"/>
      <c r="T10" s="49" t="s">
        <v>173</v>
      </c>
      <c r="U10" s="49" t="s">
        <v>183</v>
      </c>
      <c r="V10" s="49" t="s">
        <v>192</v>
      </c>
      <c r="W10" s="49" t="s">
        <v>320</v>
      </c>
      <c r="X10" s="50" t="s">
        <v>42</v>
      </c>
      <c r="Y10" s="49">
        <v>2629</v>
      </c>
      <c r="Z10" s="50" t="str">
        <f t="shared" si="0"/>
        <v>HRE</v>
      </c>
    </row>
    <row r="11" spans="1:26" x14ac:dyDescent="0.35">
      <c r="A11" s="49">
        <v>3659</v>
      </c>
      <c r="B11" s="49" t="s">
        <v>137</v>
      </c>
      <c r="C11" s="49" t="s">
        <v>179</v>
      </c>
      <c r="D11" s="49" t="s">
        <v>180</v>
      </c>
      <c r="E11" s="49">
        <v>3659</v>
      </c>
      <c r="F11" s="49" t="s">
        <v>181</v>
      </c>
      <c r="G11" s="49" t="s">
        <v>180</v>
      </c>
      <c r="H11" s="49" t="s">
        <v>321</v>
      </c>
      <c r="I11" s="49" t="s">
        <v>138</v>
      </c>
      <c r="J11" s="49" t="s">
        <v>139</v>
      </c>
      <c r="K11" s="49"/>
      <c r="L11" s="49"/>
      <c r="M11" s="49">
        <v>689958121</v>
      </c>
      <c r="N11" s="49">
        <v>47945</v>
      </c>
      <c r="O11" s="49" t="s">
        <v>182</v>
      </c>
      <c r="P11" s="49" t="s">
        <v>180</v>
      </c>
      <c r="Q11" s="49" t="s">
        <v>145</v>
      </c>
      <c r="R11" s="49"/>
      <c r="S11" s="49"/>
      <c r="T11" s="49" t="s">
        <v>173</v>
      </c>
      <c r="U11" s="49" t="s">
        <v>266</v>
      </c>
      <c r="V11" s="49"/>
      <c r="W11" s="49" t="s">
        <v>320</v>
      </c>
      <c r="X11" s="50" t="s">
        <v>42</v>
      </c>
      <c r="Y11" s="49">
        <v>3659</v>
      </c>
      <c r="Z11" s="50" t="str">
        <f t="shared" si="0"/>
        <v>HRE</v>
      </c>
    </row>
    <row r="12" spans="1:26" x14ac:dyDescent="0.35">
      <c r="A12" s="49">
        <v>3682</v>
      </c>
      <c r="B12" s="49" t="s">
        <v>137</v>
      </c>
      <c r="C12" s="49" t="s">
        <v>165</v>
      </c>
      <c r="D12" s="49" t="s">
        <v>166</v>
      </c>
      <c r="E12" s="49">
        <v>3682</v>
      </c>
      <c r="F12" s="49" t="s">
        <v>167</v>
      </c>
      <c r="G12" s="49" t="s">
        <v>166</v>
      </c>
      <c r="H12" s="49" t="s">
        <v>321</v>
      </c>
      <c r="I12" s="49" t="s">
        <v>138</v>
      </c>
      <c r="J12" s="49" t="s">
        <v>139</v>
      </c>
      <c r="K12" s="49"/>
      <c r="L12" s="49"/>
      <c r="M12" s="49">
        <v>683297989</v>
      </c>
      <c r="N12" s="49">
        <v>51433</v>
      </c>
      <c r="O12" s="49" t="s">
        <v>168</v>
      </c>
      <c r="P12" s="49" t="s">
        <v>166</v>
      </c>
      <c r="Q12" s="49" t="s">
        <v>145</v>
      </c>
      <c r="R12" s="49"/>
      <c r="S12" s="49"/>
      <c r="T12" s="49" t="s">
        <v>267</v>
      </c>
      <c r="U12" s="49"/>
      <c r="V12" s="49" t="s">
        <v>268</v>
      </c>
      <c r="W12" s="49" t="s">
        <v>320</v>
      </c>
      <c r="X12" s="50" t="s">
        <v>42</v>
      </c>
      <c r="Y12" s="49">
        <v>3682</v>
      </c>
      <c r="Z12" s="50" t="str">
        <f t="shared" si="0"/>
        <v>HRE</v>
      </c>
    </row>
    <row r="13" spans="1:26" x14ac:dyDescent="0.35">
      <c r="A13" s="49">
        <v>2481</v>
      </c>
      <c r="B13" s="49" t="s">
        <v>137</v>
      </c>
      <c r="C13" s="49" t="s">
        <v>269</v>
      </c>
      <c r="D13" s="49" t="s">
        <v>270</v>
      </c>
      <c r="E13" s="49">
        <v>2481</v>
      </c>
      <c r="F13" s="49" t="s">
        <v>243</v>
      </c>
      <c r="G13" s="49" t="s">
        <v>270</v>
      </c>
      <c r="H13" s="49" t="s">
        <v>321</v>
      </c>
      <c r="I13" s="49" t="s">
        <v>138</v>
      </c>
      <c r="J13" s="49" t="s">
        <v>139</v>
      </c>
      <c r="K13" s="49"/>
      <c r="L13" s="49"/>
      <c r="M13" s="49">
        <v>680392507</v>
      </c>
      <c r="N13" s="49">
        <v>52296</v>
      </c>
      <c r="O13" s="49" t="s">
        <v>244</v>
      </c>
      <c r="P13" s="49" t="s">
        <v>270</v>
      </c>
      <c r="Q13" s="49" t="s">
        <v>145</v>
      </c>
      <c r="R13" s="49"/>
      <c r="S13" s="49"/>
      <c r="T13" s="49" t="s">
        <v>197</v>
      </c>
      <c r="U13" s="49"/>
      <c r="V13" s="49"/>
      <c r="W13" s="49" t="s">
        <v>320</v>
      </c>
      <c r="X13" s="50" t="s">
        <v>42</v>
      </c>
      <c r="Y13" s="49">
        <v>2481</v>
      </c>
      <c r="Z13" s="50" t="str">
        <f t="shared" si="0"/>
        <v>HRE</v>
      </c>
    </row>
    <row r="14" spans="1:26" x14ac:dyDescent="0.35">
      <c r="A14" s="49">
        <v>3</v>
      </c>
      <c r="B14" s="49" t="s">
        <v>137</v>
      </c>
      <c r="C14" s="49" t="s">
        <v>193</v>
      </c>
      <c r="D14" s="49" t="s">
        <v>194</v>
      </c>
      <c r="E14" s="49">
        <v>3</v>
      </c>
      <c r="F14" s="49" t="s">
        <v>195</v>
      </c>
      <c r="G14" s="49" t="s">
        <v>194</v>
      </c>
      <c r="H14" s="49" t="s">
        <v>321</v>
      </c>
      <c r="I14" s="49" t="s">
        <v>138</v>
      </c>
      <c r="J14" s="49" t="s">
        <v>139</v>
      </c>
      <c r="K14" s="49"/>
      <c r="L14" s="49"/>
      <c r="M14" s="49">
        <v>659602129</v>
      </c>
      <c r="N14" s="49">
        <v>92896</v>
      </c>
      <c r="O14" s="49" t="s">
        <v>196</v>
      </c>
      <c r="P14" s="49" t="s">
        <v>194</v>
      </c>
      <c r="Q14" s="49" t="s">
        <v>145</v>
      </c>
      <c r="R14" s="49"/>
      <c r="S14" s="49"/>
      <c r="T14" s="49" t="s">
        <v>197</v>
      </c>
      <c r="U14" s="49"/>
      <c r="V14" s="49"/>
      <c r="W14" s="49" t="s">
        <v>117</v>
      </c>
      <c r="X14" s="50" t="s">
        <v>43</v>
      </c>
      <c r="Y14" s="49">
        <v>3</v>
      </c>
      <c r="Z14" s="50" t="str">
        <f t="shared" si="0"/>
        <v>HRE</v>
      </c>
    </row>
    <row r="15" spans="1:26" x14ac:dyDescent="0.35">
      <c r="A15" s="49">
        <v>4</v>
      </c>
      <c r="B15" s="49" t="s">
        <v>137</v>
      </c>
      <c r="C15" s="49" t="s">
        <v>198</v>
      </c>
      <c r="D15" s="49" t="s">
        <v>199</v>
      </c>
      <c r="E15" s="49">
        <v>4</v>
      </c>
      <c r="F15" s="49" t="s">
        <v>200</v>
      </c>
      <c r="G15" s="49" t="s">
        <v>199</v>
      </c>
      <c r="H15" s="49" t="s">
        <v>321</v>
      </c>
      <c r="I15" s="49" t="s">
        <v>138</v>
      </c>
      <c r="J15" s="49" t="s">
        <v>139</v>
      </c>
      <c r="K15" s="49"/>
      <c r="L15" s="49"/>
      <c r="M15" s="49">
        <v>680190272</v>
      </c>
      <c r="N15" s="49">
        <v>71001</v>
      </c>
      <c r="O15" s="49" t="s">
        <v>201</v>
      </c>
      <c r="P15" s="49" t="s">
        <v>199</v>
      </c>
      <c r="Q15" s="49" t="s">
        <v>145</v>
      </c>
      <c r="R15" s="49"/>
      <c r="S15" s="49"/>
      <c r="T15" s="49" t="s">
        <v>197</v>
      </c>
      <c r="U15" s="49"/>
      <c r="V15" s="49"/>
      <c r="W15" s="49" t="s">
        <v>117</v>
      </c>
      <c r="X15" s="50" t="s">
        <v>43</v>
      </c>
      <c r="Y15" s="49">
        <v>4</v>
      </c>
      <c r="Z15" s="50" t="str">
        <f t="shared" si="0"/>
        <v>HRE</v>
      </c>
    </row>
    <row r="16" spans="1:26" x14ac:dyDescent="0.35">
      <c r="A16" s="49">
        <v>2096</v>
      </c>
      <c r="B16" s="49" t="s">
        <v>137</v>
      </c>
      <c r="C16" s="49" t="s">
        <v>202</v>
      </c>
      <c r="D16" s="49" t="s">
        <v>203</v>
      </c>
      <c r="E16" s="49">
        <v>2096</v>
      </c>
      <c r="F16" s="49" t="s">
        <v>204</v>
      </c>
      <c r="G16" s="49" t="s">
        <v>203</v>
      </c>
      <c r="H16" s="49" t="s">
        <v>321</v>
      </c>
      <c r="I16" s="49" t="s">
        <v>138</v>
      </c>
      <c r="J16" s="49" t="s">
        <v>139</v>
      </c>
      <c r="K16" s="49"/>
      <c r="L16" s="49"/>
      <c r="M16" s="49">
        <v>606610162</v>
      </c>
      <c r="N16" s="49">
        <v>90347</v>
      </c>
      <c r="O16" s="49" t="s">
        <v>205</v>
      </c>
      <c r="P16" s="49" t="s">
        <v>203</v>
      </c>
      <c r="Q16" s="49" t="s">
        <v>145</v>
      </c>
      <c r="R16" s="49"/>
      <c r="S16" s="49"/>
      <c r="T16" s="49" t="s">
        <v>197</v>
      </c>
      <c r="U16" s="49"/>
      <c r="V16" s="49" t="s">
        <v>206</v>
      </c>
      <c r="W16" s="49" t="s">
        <v>320</v>
      </c>
      <c r="X16" s="50" t="s">
        <v>42</v>
      </c>
      <c r="Y16" s="49">
        <v>2096</v>
      </c>
      <c r="Z16" s="50" t="str">
        <f t="shared" si="0"/>
        <v>HRE</v>
      </c>
    </row>
    <row r="17" spans="1:26" x14ac:dyDescent="0.35">
      <c r="A17" s="49">
        <v>2666</v>
      </c>
      <c r="B17" s="49" t="s">
        <v>137</v>
      </c>
      <c r="C17" s="49" t="s">
        <v>235</v>
      </c>
      <c r="D17" s="49" t="s">
        <v>236</v>
      </c>
      <c r="E17" s="49">
        <v>2666</v>
      </c>
      <c r="F17" s="49" t="s">
        <v>237</v>
      </c>
      <c r="G17" s="49" t="s">
        <v>236</v>
      </c>
      <c r="H17" s="49" t="s">
        <v>321</v>
      </c>
      <c r="I17" s="49" t="s">
        <v>138</v>
      </c>
      <c r="J17" s="49" t="s">
        <v>139</v>
      </c>
      <c r="K17" s="49"/>
      <c r="L17" s="49"/>
      <c r="M17" s="49">
        <v>686235908</v>
      </c>
      <c r="N17" s="49">
        <v>43338</v>
      </c>
      <c r="O17" s="49" t="s">
        <v>238</v>
      </c>
      <c r="P17" s="49" t="s">
        <v>236</v>
      </c>
      <c r="Q17" s="49" t="s">
        <v>145</v>
      </c>
      <c r="R17" s="49" t="s">
        <v>211</v>
      </c>
      <c r="S17" s="49"/>
      <c r="T17" s="49"/>
      <c r="U17" s="49"/>
      <c r="V17" s="49"/>
      <c r="W17" s="49" t="s">
        <v>320</v>
      </c>
      <c r="X17" s="50" t="s">
        <v>42</v>
      </c>
      <c r="Y17" s="49">
        <v>2666</v>
      </c>
      <c r="Z17" s="50" t="str">
        <f t="shared" si="0"/>
        <v>HRE</v>
      </c>
    </row>
    <row r="18" spans="1:26" x14ac:dyDescent="0.35">
      <c r="A18" s="49">
        <v>3832</v>
      </c>
      <c r="B18" s="49" t="s">
        <v>137</v>
      </c>
      <c r="C18" s="49" t="s">
        <v>212</v>
      </c>
      <c r="D18" s="49" t="s">
        <v>213</v>
      </c>
      <c r="E18" s="49">
        <v>3832</v>
      </c>
      <c r="F18" s="49" t="s">
        <v>214</v>
      </c>
      <c r="G18" s="49" t="s">
        <v>213</v>
      </c>
      <c r="H18" s="49" t="s">
        <v>321</v>
      </c>
      <c r="I18" s="49" t="s">
        <v>138</v>
      </c>
      <c r="J18" s="49" t="s">
        <v>139</v>
      </c>
      <c r="K18" s="49"/>
      <c r="L18" s="49"/>
      <c r="M18" s="49">
        <v>681011361</v>
      </c>
      <c r="N18" s="49">
        <v>98875</v>
      </c>
      <c r="O18" s="49" t="s">
        <v>215</v>
      </c>
      <c r="P18" s="49" t="s">
        <v>213</v>
      </c>
      <c r="Q18" s="49" t="s">
        <v>145</v>
      </c>
      <c r="R18" s="49" t="s">
        <v>211</v>
      </c>
      <c r="S18" s="49"/>
      <c r="T18" s="49"/>
      <c r="U18" s="49"/>
      <c r="V18" s="49"/>
      <c r="W18" s="49" t="s">
        <v>320</v>
      </c>
      <c r="X18" s="50" t="s">
        <v>42</v>
      </c>
      <c r="Y18" s="49">
        <v>3832</v>
      </c>
      <c r="Z18" s="50" t="str">
        <f t="shared" si="0"/>
        <v>HRE</v>
      </c>
    </row>
    <row r="19" spans="1:26" x14ac:dyDescent="0.35">
      <c r="A19" s="49">
        <v>5181</v>
      </c>
      <c r="B19" s="49" t="s">
        <v>137</v>
      </c>
      <c r="C19" s="49" t="s">
        <v>271</v>
      </c>
      <c r="D19" s="49" t="s">
        <v>272</v>
      </c>
      <c r="E19" s="49">
        <v>5181</v>
      </c>
      <c r="F19" s="49" t="s">
        <v>273</v>
      </c>
      <c r="G19" s="49" t="s">
        <v>272</v>
      </c>
      <c r="H19" s="49" t="s">
        <v>321</v>
      </c>
      <c r="I19" s="49" t="s">
        <v>138</v>
      </c>
      <c r="J19" s="49" t="s">
        <v>139</v>
      </c>
      <c r="K19" s="49"/>
      <c r="L19" s="49"/>
      <c r="M19" s="49">
        <v>660180167</v>
      </c>
      <c r="N19" s="49">
        <v>41119</v>
      </c>
      <c r="O19" s="49" t="s">
        <v>274</v>
      </c>
      <c r="P19" s="49" t="s">
        <v>272</v>
      </c>
      <c r="Q19" s="49" t="s">
        <v>145</v>
      </c>
      <c r="R19" s="49" t="s">
        <v>211</v>
      </c>
      <c r="S19" s="49"/>
      <c r="T19" s="49"/>
      <c r="U19" s="49"/>
      <c r="V19" s="49"/>
      <c r="W19" s="49" t="s">
        <v>320</v>
      </c>
      <c r="X19" s="50" t="s">
        <v>42</v>
      </c>
      <c r="Y19" s="49">
        <v>5181</v>
      </c>
      <c r="Z19" s="50" t="str">
        <f t="shared" si="0"/>
        <v>HRE</v>
      </c>
    </row>
    <row r="20" spans="1:26" x14ac:dyDescent="0.35">
      <c r="A20" s="49">
        <v>5182</v>
      </c>
      <c r="B20" s="49" t="s">
        <v>137</v>
      </c>
      <c r="C20" s="49" t="s">
        <v>275</v>
      </c>
      <c r="D20" s="49" t="s">
        <v>276</v>
      </c>
      <c r="E20" s="49">
        <v>5182</v>
      </c>
      <c r="F20" s="49" t="s">
        <v>277</v>
      </c>
      <c r="G20" s="49" t="s">
        <v>276</v>
      </c>
      <c r="H20" s="49" t="s">
        <v>321</v>
      </c>
      <c r="I20" s="49" t="s">
        <v>138</v>
      </c>
      <c r="J20" s="49" t="s">
        <v>139</v>
      </c>
      <c r="K20" s="49"/>
      <c r="L20" s="49"/>
      <c r="M20" s="49">
        <v>683378838</v>
      </c>
      <c r="N20" s="49">
        <v>52854</v>
      </c>
      <c r="O20" s="49" t="s">
        <v>278</v>
      </c>
      <c r="P20" s="49" t="s">
        <v>276</v>
      </c>
      <c r="Q20" s="49" t="s">
        <v>145</v>
      </c>
      <c r="R20" s="49" t="s">
        <v>211</v>
      </c>
      <c r="S20" s="49"/>
      <c r="T20" s="49"/>
      <c r="U20" s="49"/>
      <c r="V20" s="49"/>
      <c r="W20" s="49" t="s">
        <v>320</v>
      </c>
      <c r="X20" s="50" t="s">
        <v>42</v>
      </c>
      <c r="Y20" s="49">
        <v>5182</v>
      </c>
      <c r="Z20" s="50" t="str">
        <f t="shared" si="0"/>
        <v>HRE</v>
      </c>
    </row>
    <row r="21" spans="1:26" x14ac:dyDescent="0.35">
      <c r="A21" s="49">
        <v>5350</v>
      </c>
      <c r="B21" s="49" t="s">
        <v>137</v>
      </c>
      <c r="C21" s="49" t="s">
        <v>327</v>
      </c>
      <c r="D21" s="49" t="s">
        <v>328</v>
      </c>
      <c r="E21" s="49">
        <v>5350</v>
      </c>
      <c r="F21" s="49" t="s">
        <v>329</v>
      </c>
      <c r="G21" s="49" t="s">
        <v>328</v>
      </c>
      <c r="H21" s="49" t="s">
        <v>321</v>
      </c>
      <c r="I21" s="49" t="s">
        <v>138</v>
      </c>
      <c r="J21" s="49" t="s">
        <v>139</v>
      </c>
      <c r="K21" s="49"/>
      <c r="L21" s="49"/>
      <c r="M21" s="49">
        <v>659031545</v>
      </c>
      <c r="N21" s="49">
        <v>53649</v>
      </c>
      <c r="O21" s="49" t="s">
        <v>330</v>
      </c>
      <c r="P21" s="49" t="s">
        <v>328</v>
      </c>
      <c r="Q21" s="49" t="s">
        <v>145</v>
      </c>
      <c r="R21" s="49" t="s">
        <v>211</v>
      </c>
      <c r="S21" s="49"/>
      <c r="T21" s="49"/>
      <c r="U21" s="49"/>
      <c r="V21" s="49"/>
      <c r="W21" s="49" t="s">
        <v>320</v>
      </c>
      <c r="X21" s="50" t="s">
        <v>42</v>
      </c>
      <c r="Y21" s="49">
        <v>5350</v>
      </c>
      <c r="Z21" s="50" t="str">
        <f t="shared" si="0"/>
        <v>HRE</v>
      </c>
    </row>
    <row r="22" spans="1:26" x14ac:dyDescent="0.35">
      <c r="A22" s="49">
        <v>5376</v>
      </c>
      <c r="B22" s="49" t="s">
        <v>137</v>
      </c>
      <c r="C22" s="49" t="s">
        <v>331</v>
      </c>
      <c r="D22" s="49" t="s">
        <v>332</v>
      </c>
      <c r="E22" s="49">
        <v>5376</v>
      </c>
      <c r="F22" s="49" t="s">
        <v>333</v>
      </c>
      <c r="G22" s="49" t="s">
        <v>332</v>
      </c>
      <c r="H22" s="49" t="s">
        <v>321</v>
      </c>
      <c r="I22" s="49" t="s">
        <v>138</v>
      </c>
      <c r="J22" s="49" t="s">
        <v>139</v>
      </c>
      <c r="K22" s="49"/>
      <c r="L22" s="49"/>
      <c r="M22" s="49">
        <v>681203812</v>
      </c>
      <c r="N22" s="49">
        <v>72628</v>
      </c>
      <c r="O22" s="49" t="s">
        <v>334</v>
      </c>
      <c r="P22" s="49" t="s">
        <v>332</v>
      </c>
      <c r="Q22" s="49" t="s">
        <v>145</v>
      </c>
      <c r="R22" s="49" t="s">
        <v>211</v>
      </c>
      <c r="S22" s="49"/>
      <c r="T22" s="49"/>
      <c r="U22" s="49"/>
      <c r="V22" s="49"/>
      <c r="W22" s="49" t="s">
        <v>320</v>
      </c>
      <c r="X22" s="50" t="s">
        <v>42</v>
      </c>
      <c r="Y22" s="49">
        <v>5376</v>
      </c>
      <c r="Z22" s="50" t="str">
        <f t="shared" si="0"/>
        <v>HRE</v>
      </c>
    </row>
    <row r="23" spans="1:26" x14ac:dyDescent="0.35">
      <c r="A23" s="49">
        <v>5754</v>
      </c>
      <c r="B23" s="49" t="s">
        <v>137</v>
      </c>
      <c r="C23" s="49" t="s">
        <v>335</v>
      </c>
      <c r="D23" s="49" t="s">
        <v>336</v>
      </c>
      <c r="E23" s="49">
        <v>5754</v>
      </c>
      <c r="F23" s="49" t="s">
        <v>337</v>
      </c>
      <c r="G23" s="49" t="s">
        <v>336</v>
      </c>
      <c r="H23" s="49" t="s">
        <v>321</v>
      </c>
      <c r="I23" s="49" t="s">
        <v>138</v>
      </c>
      <c r="J23" s="49" t="s">
        <v>139</v>
      </c>
      <c r="K23" s="49"/>
      <c r="L23" s="49"/>
      <c r="M23" s="49">
        <v>682796596</v>
      </c>
      <c r="N23" s="49">
        <v>58443</v>
      </c>
      <c r="O23" s="49" t="s">
        <v>338</v>
      </c>
      <c r="P23" s="49" t="s">
        <v>336</v>
      </c>
      <c r="Q23" s="49" t="s">
        <v>145</v>
      </c>
      <c r="R23" s="49" t="s">
        <v>211</v>
      </c>
      <c r="S23" s="49"/>
      <c r="T23" s="49"/>
      <c r="U23" s="49"/>
      <c r="V23" s="49"/>
      <c r="W23" s="49" t="s">
        <v>320</v>
      </c>
      <c r="X23" s="50" t="s">
        <v>42</v>
      </c>
      <c r="Y23" s="49">
        <v>5754</v>
      </c>
      <c r="Z23" s="50" t="str">
        <f t="shared" si="0"/>
        <v>HRE</v>
      </c>
    </row>
    <row r="24" spans="1:26" x14ac:dyDescent="0.35">
      <c r="A24" s="49">
        <v>5692</v>
      </c>
      <c r="B24" s="49" t="s">
        <v>137</v>
      </c>
      <c r="C24" s="49" t="s">
        <v>339</v>
      </c>
      <c r="D24" s="49" t="s">
        <v>340</v>
      </c>
      <c r="E24" s="49">
        <v>5692</v>
      </c>
      <c r="F24" s="49" t="s">
        <v>341</v>
      </c>
      <c r="G24" s="49" t="s">
        <v>340</v>
      </c>
      <c r="H24" s="49" t="s">
        <v>321</v>
      </c>
      <c r="I24" s="49" t="s">
        <v>138</v>
      </c>
      <c r="J24" s="49" t="s">
        <v>139</v>
      </c>
      <c r="K24" s="49"/>
      <c r="L24" s="49"/>
      <c r="M24" s="49">
        <v>690105124</v>
      </c>
      <c r="N24" s="49">
        <v>70973</v>
      </c>
      <c r="O24" s="49" t="s">
        <v>342</v>
      </c>
      <c r="P24" s="49" t="s">
        <v>340</v>
      </c>
      <c r="Q24" s="49" t="s">
        <v>145</v>
      </c>
      <c r="R24" s="49" t="s">
        <v>211</v>
      </c>
      <c r="S24" s="49"/>
      <c r="T24" s="49"/>
      <c r="U24" s="49"/>
      <c r="V24" s="49"/>
      <c r="W24" s="49" t="s">
        <v>320</v>
      </c>
      <c r="X24" s="50" t="s">
        <v>42</v>
      </c>
      <c r="Y24" s="49">
        <v>5692</v>
      </c>
      <c r="Z24" s="50" t="str">
        <f t="shared" si="0"/>
        <v>HRE</v>
      </c>
    </row>
    <row r="25" spans="1:26" x14ac:dyDescent="0.35">
      <c r="A25" s="49">
        <v>2623</v>
      </c>
      <c r="B25" s="49" t="s">
        <v>137</v>
      </c>
      <c r="C25" s="49" t="s">
        <v>220</v>
      </c>
      <c r="D25" s="49" t="s">
        <v>221</v>
      </c>
      <c r="E25" s="49">
        <v>2623</v>
      </c>
      <c r="F25" s="49" t="s">
        <v>222</v>
      </c>
      <c r="G25" s="49" t="s">
        <v>221</v>
      </c>
      <c r="H25" s="49" t="s">
        <v>321</v>
      </c>
      <c r="I25" s="49" t="s">
        <v>138</v>
      </c>
      <c r="J25" s="49" t="s">
        <v>139</v>
      </c>
      <c r="K25" s="49"/>
      <c r="L25" s="49"/>
      <c r="M25" s="49">
        <v>609053783</v>
      </c>
      <c r="N25" s="49">
        <v>90972</v>
      </c>
      <c r="O25" s="49" t="s">
        <v>223</v>
      </c>
      <c r="P25" s="49" t="s">
        <v>221</v>
      </c>
      <c r="Q25" s="49" t="s">
        <v>145</v>
      </c>
      <c r="R25" s="49" t="s">
        <v>211</v>
      </c>
      <c r="S25" s="49"/>
      <c r="T25" s="49"/>
      <c r="U25" s="49"/>
      <c r="V25" s="49" t="s">
        <v>224</v>
      </c>
      <c r="W25" s="49" t="s">
        <v>320</v>
      </c>
      <c r="X25" s="50" t="s">
        <v>42</v>
      </c>
      <c r="Y25" s="49">
        <v>2623</v>
      </c>
      <c r="Z25" s="50" t="str">
        <f t="shared" si="0"/>
        <v>HRE</v>
      </c>
    </row>
    <row r="26" spans="1:26" x14ac:dyDescent="0.35">
      <c r="A26" s="49">
        <v>60</v>
      </c>
      <c r="B26" s="49" t="s">
        <v>137</v>
      </c>
      <c r="C26" s="49" t="s">
        <v>225</v>
      </c>
      <c r="D26" s="49" t="s">
        <v>226</v>
      </c>
      <c r="E26" s="49">
        <v>60</v>
      </c>
      <c r="F26" s="49" t="s">
        <v>227</v>
      </c>
      <c r="G26" s="49" t="s">
        <v>226</v>
      </c>
      <c r="H26" s="49" t="s">
        <v>343</v>
      </c>
      <c r="I26" s="49" t="s">
        <v>138</v>
      </c>
      <c r="J26" s="49" t="s">
        <v>139</v>
      </c>
      <c r="K26" s="49"/>
      <c r="L26" s="49"/>
      <c r="M26" s="49">
        <v>676960612</v>
      </c>
      <c r="N26" s="49">
        <v>65259</v>
      </c>
      <c r="O26" s="49" t="s">
        <v>228</v>
      </c>
      <c r="P26" s="49" t="s">
        <v>226</v>
      </c>
      <c r="Q26" s="49" t="s">
        <v>145</v>
      </c>
      <c r="R26" s="49" t="s">
        <v>211</v>
      </c>
      <c r="S26" s="49"/>
      <c r="T26" s="49"/>
      <c r="U26" s="49" t="s">
        <v>229</v>
      </c>
      <c r="V26" s="49" t="s">
        <v>230</v>
      </c>
      <c r="W26" s="49" t="s">
        <v>117</v>
      </c>
      <c r="X26" s="50" t="s">
        <v>43</v>
      </c>
      <c r="Y26" s="49">
        <v>60</v>
      </c>
      <c r="Z26" s="50" t="str">
        <f t="shared" si="0"/>
        <v>HRE</v>
      </c>
    </row>
    <row r="27" spans="1:26" x14ac:dyDescent="0.35">
      <c r="A27" s="49">
        <v>2670</v>
      </c>
      <c r="B27" s="49" t="s">
        <v>137</v>
      </c>
      <c r="C27" s="49" t="s">
        <v>231</v>
      </c>
      <c r="D27" s="49" t="s">
        <v>232</v>
      </c>
      <c r="E27" s="49">
        <v>2670</v>
      </c>
      <c r="F27" s="49" t="s">
        <v>233</v>
      </c>
      <c r="G27" s="49" t="s">
        <v>232</v>
      </c>
      <c r="H27" s="49" t="s">
        <v>321</v>
      </c>
      <c r="I27" s="49" t="s">
        <v>138</v>
      </c>
      <c r="J27" s="49" t="s">
        <v>139</v>
      </c>
      <c r="K27" s="49"/>
      <c r="L27" s="49"/>
      <c r="M27" s="49">
        <v>646119394</v>
      </c>
      <c r="N27" s="49">
        <v>91614</v>
      </c>
      <c r="O27" s="49" t="s">
        <v>234</v>
      </c>
      <c r="P27" s="49" t="s">
        <v>232</v>
      </c>
      <c r="Q27" s="49" t="s">
        <v>145</v>
      </c>
      <c r="R27" s="49" t="s">
        <v>211</v>
      </c>
      <c r="S27" s="49"/>
      <c r="T27" s="49" t="s">
        <v>279</v>
      </c>
      <c r="U27" s="49"/>
      <c r="V27" s="49" t="s">
        <v>344</v>
      </c>
      <c r="W27" s="49" t="s">
        <v>320</v>
      </c>
      <c r="X27" s="50" t="s">
        <v>42</v>
      </c>
      <c r="Y27" s="49">
        <v>2670</v>
      </c>
      <c r="Z27" s="50" t="str">
        <f t="shared" si="0"/>
        <v>HRE</v>
      </c>
    </row>
    <row r="28" spans="1:26" x14ac:dyDescent="0.35">
      <c r="A28" s="49">
        <v>2018</v>
      </c>
      <c r="B28" s="49" t="s">
        <v>137</v>
      </c>
      <c r="C28" s="49" t="s">
        <v>207</v>
      </c>
      <c r="D28" s="49" t="s">
        <v>208</v>
      </c>
      <c r="E28" s="49">
        <v>2018</v>
      </c>
      <c r="F28" s="49" t="s">
        <v>209</v>
      </c>
      <c r="G28" s="49" t="s">
        <v>208</v>
      </c>
      <c r="H28" s="49" t="s">
        <v>321</v>
      </c>
      <c r="I28" s="49" t="s">
        <v>138</v>
      </c>
      <c r="J28" s="49" t="s">
        <v>139</v>
      </c>
      <c r="K28" s="49"/>
      <c r="L28" s="49"/>
      <c r="M28" s="49">
        <v>616420664</v>
      </c>
      <c r="N28" s="49">
        <v>90754</v>
      </c>
      <c r="O28" s="49" t="s">
        <v>210</v>
      </c>
      <c r="P28" s="49" t="s">
        <v>208</v>
      </c>
      <c r="Q28" s="49" t="s">
        <v>145</v>
      </c>
      <c r="R28" s="49" t="s">
        <v>211</v>
      </c>
      <c r="S28" s="49"/>
      <c r="T28" s="49" t="s">
        <v>283</v>
      </c>
      <c r="U28" s="49"/>
      <c r="V28" s="49"/>
      <c r="W28" s="49" t="s">
        <v>320</v>
      </c>
      <c r="X28" s="50" t="s">
        <v>42</v>
      </c>
      <c r="Y28" s="49">
        <v>2018</v>
      </c>
      <c r="Z28" s="50" t="str">
        <f t="shared" si="0"/>
        <v>HRE</v>
      </c>
    </row>
    <row r="29" spans="1:26" x14ac:dyDescent="0.35">
      <c r="A29" s="49">
        <v>4166</v>
      </c>
      <c r="B29" s="49" t="s">
        <v>137</v>
      </c>
      <c r="C29" s="49" t="s">
        <v>216</v>
      </c>
      <c r="D29" s="49" t="s">
        <v>217</v>
      </c>
      <c r="E29" s="49">
        <v>4166</v>
      </c>
      <c r="F29" s="49" t="s">
        <v>218</v>
      </c>
      <c r="G29" s="49" t="s">
        <v>217</v>
      </c>
      <c r="H29" s="49" t="s">
        <v>321</v>
      </c>
      <c r="I29" s="49" t="s">
        <v>138</v>
      </c>
      <c r="J29" s="49" t="s">
        <v>139</v>
      </c>
      <c r="K29" s="49"/>
      <c r="L29" s="49"/>
      <c r="M29" s="49">
        <v>636867379</v>
      </c>
      <c r="N29" s="49">
        <v>40014</v>
      </c>
      <c r="O29" s="49" t="s">
        <v>219</v>
      </c>
      <c r="P29" s="49" t="s">
        <v>217</v>
      </c>
      <c r="Q29" s="49" t="s">
        <v>145</v>
      </c>
      <c r="R29" s="49" t="s">
        <v>211</v>
      </c>
      <c r="S29" s="49"/>
      <c r="T29" s="49" t="s">
        <v>283</v>
      </c>
      <c r="U29" s="49"/>
      <c r="V29" s="49"/>
      <c r="W29" s="49" t="s">
        <v>320</v>
      </c>
      <c r="X29" s="50" t="s">
        <v>42</v>
      </c>
      <c r="Y29" s="49">
        <v>4166</v>
      </c>
      <c r="Z29" s="50" t="str">
        <f t="shared" si="0"/>
        <v>HRE</v>
      </c>
    </row>
    <row r="30" spans="1:26" x14ac:dyDescent="0.35">
      <c r="A30" s="49">
        <v>4742</v>
      </c>
      <c r="B30" s="49" t="s">
        <v>137</v>
      </c>
      <c r="C30" s="49" t="s">
        <v>147</v>
      </c>
      <c r="D30" s="49" t="s">
        <v>148</v>
      </c>
      <c r="E30" s="49">
        <v>4742</v>
      </c>
      <c r="F30" s="49" t="s">
        <v>149</v>
      </c>
      <c r="G30" s="49" t="s">
        <v>148</v>
      </c>
      <c r="H30" s="49" t="s">
        <v>321</v>
      </c>
      <c r="I30" s="49" t="s">
        <v>138</v>
      </c>
      <c r="J30" s="49" t="s">
        <v>139</v>
      </c>
      <c r="K30" s="49"/>
      <c r="L30" s="49"/>
      <c r="M30" s="49">
        <v>686863652</v>
      </c>
      <c r="N30" s="49">
        <v>77722</v>
      </c>
      <c r="O30" s="49" t="s">
        <v>150</v>
      </c>
      <c r="P30" s="49" t="s">
        <v>148</v>
      </c>
      <c r="Q30" s="49" t="s">
        <v>145</v>
      </c>
      <c r="R30" s="49" t="s">
        <v>211</v>
      </c>
      <c r="S30" s="49"/>
      <c r="T30" s="49" t="s">
        <v>283</v>
      </c>
      <c r="U30" s="49"/>
      <c r="V30" s="49" t="s">
        <v>345</v>
      </c>
      <c r="W30" s="49" t="s">
        <v>320</v>
      </c>
      <c r="X30" s="50" t="s">
        <v>42</v>
      </c>
      <c r="Y30" s="49">
        <v>4742</v>
      </c>
      <c r="Z30" s="50" t="str">
        <f t="shared" si="0"/>
        <v>HRE</v>
      </c>
    </row>
    <row r="31" spans="1:26" x14ac:dyDescent="0.35">
      <c r="A31" s="49">
        <v>3814</v>
      </c>
      <c r="B31" s="49" t="s">
        <v>137</v>
      </c>
      <c r="C31" s="49" t="s">
        <v>151</v>
      </c>
      <c r="D31" s="49" t="s">
        <v>152</v>
      </c>
      <c r="E31" s="49">
        <v>3814</v>
      </c>
      <c r="F31" s="49" t="s">
        <v>153</v>
      </c>
      <c r="G31" s="49" t="s">
        <v>152</v>
      </c>
      <c r="H31" s="49" t="s">
        <v>321</v>
      </c>
      <c r="I31" s="49" t="s">
        <v>138</v>
      </c>
      <c r="J31" s="49" t="s">
        <v>139</v>
      </c>
      <c r="K31" s="49"/>
      <c r="L31" s="49"/>
      <c r="M31" s="49">
        <v>681084141</v>
      </c>
      <c r="N31" s="49">
        <v>56560</v>
      </c>
      <c r="O31" s="49" t="s">
        <v>154</v>
      </c>
      <c r="P31" s="49" t="s">
        <v>152</v>
      </c>
      <c r="Q31" s="49" t="s">
        <v>145</v>
      </c>
      <c r="R31" s="49" t="s">
        <v>211</v>
      </c>
      <c r="S31" s="49"/>
      <c r="T31" s="49" t="s">
        <v>283</v>
      </c>
      <c r="U31" s="49" t="s">
        <v>159</v>
      </c>
      <c r="V31" s="49"/>
      <c r="W31" s="49" t="s">
        <v>320</v>
      </c>
      <c r="X31" s="50" t="s">
        <v>42</v>
      </c>
      <c r="Y31" s="49">
        <v>3814</v>
      </c>
      <c r="Z31" s="50" t="str">
        <f t="shared" si="0"/>
        <v>HRE</v>
      </c>
    </row>
    <row r="32" spans="1:26" x14ac:dyDescent="0.35">
      <c r="A32" s="49">
        <v>2534</v>
      </c>
      <c r="B32" s="49" t="s">
        <v>137</v>
      </c>
      <c r="C32" s="49" t="s">
        <v>155</v>
      </c>
      <c r="D32" s="49" t="s">
        <v>156</v>
      </c>
      <c r="E32" s="49">
        <v>2534</v>
      </c>
      <c r="F32" s="49" t="s">
        <v>157</v>
      </c>
      <c r="G32" s="49" t="s">
        <v>156</v>
      </c>
      <c r="H32" s="49" t="s">
        <v>321</v>
      </c>
      <c r="I32" s="49" t="s">
        <v>138</v>
      </c>
      <c r="J32" s="49" t="s">
        <v>139</v>
      </c>
      <c r="K32" s="49"/>
      <c r="L32" s="49"/>
      <c r="M32" s="49">
        <v>672431633</v>
      </c>
      <c r="N32" s="49">
        <v>40006</v>
      </c>
      <c r="O32" s="49" t="s">
        <v>158</v>
      </c>
      <c r="P32" s="49" t="s">
        <v>156</v>
      </c>
      <c r="Q32" s="49" t="s">
        <v>145</v>
      </c>
      <c r="R32" s="49" t="s">
        <v>211</v>
      </c>
      <c r="S32" s="49"/>
      <c r="T32" s="49" t="s">
        <v>283</v>
      </c>
      <c r="U32" s="49" t="s">
        <v>159</v>
      </c>
      <c r="V32" s="49" t="s">
        <v>160</v>
      </c>
      <c r="W32" s="49" t="s">
        <v>320</v>
      </c>
      <c r="X32" s="50" t="s">
        <v>42</v>
      </c>
      <c r="Y32" s="49">
        <v>2534</v>
      </c>
      <c r="Z32" s="50" t="str">
        <f t="shared" si="0"/>
        <v>HRE</v>
      </c>
    </row>
    <row r="33" spans="1:26" x14ac:dyDescent="0.35">
      <c r="A33" s="49">
        <v>5084</v>
      </c>
      <c r="B33" s="49" t="s">
        <v>137</v>
      </c>
      <c r="C33" s="49" t="s">
        <v>280</v>
      </c>
      <c r="D33" s="49" t="s">
        <v>281</v>
      </c>
      <c r="E33" s="49">
        <v>5084</v>
      </c>
      <c r="F33" s="49" t="s">
        <v>282</v>
      </c>
      <c r="G33" s="49" t="s">
        <v>281</v>
      </c>
      <c r="H33" s="49" t="s">
        <v>321</v>
      </c>
      <c r="I33" s="49" t="s">
        <v>138</v>
      </c>
      <c r="J33" s="49" t="s">
        <v>139</v>
      </c>
      <c r="K33" s="49"/>
      <c r="L33" s="49"/>
      <c r="M33" s="49">
        <v>659836112</v>
      </c>
      <c r="N33" s="49">
        <v>49249</v>
      </c>
      <c r="O33" s="49" t="s">
        <v>256</v>
      </c>
      <c r="P33" s="49" t="s">
        <v>281</v>
      </c>
      <c r="Q33" s="49" t="s">
        <v>145</v>
      </c>
      <c r="R33" s="49" t="s">
        <v>211</v>
      </c>
      <c r="S33" s="49"/>
      <c r="T33" s="49" t="s">
        <v>346</v>
      </c>
      <c r="U33" s="49"/>
      <c r="V33" s="49"/>
      <c r="W33" s="49" t="s">
        <v>320</v>
      </c>
      <c r="X33" s="50" t="s">
        <v>42</v>
      </c>
      <c r="Y33" s="49">
        <v>5084</v>
      </c>
      <c r="Z33" s="50" t="str">
        <f t="shared" si="0"/>
        <v>HRE</v>
      </c>
    </row>
    <row r="34" spans="1:26" x14ac:dyDescent="0.35">
      <c r="A34" s="49">
        <v>5954</v>
      </c>
      <c r="B34" s="49" t="s">
        <v>137</v>
      </c>
      <c r="C34" s="49" t="s">
        <v>347</v>
      </c>
      <c r="D34" s="49" t="s">
        <v>348</v>
      </c>
      <c r="E34" s="49">
        <v>5954</v>
      </c>
      <c r="F34" s="49" t="s">
        <v>349</v>
      </c>
      <c r="G34" s="49" t="s">
        <v>348</v>
      </c>
      <c r="H34" s="49" t="s">
        <v>321</v>
      </c>
      <c r="I34" s="49" t="s">
        <v>138</v>
      </c>
      <c r="J34" s="49" t="s">
        <v>139</v>
      </c>
      <c r="K34" s="49"/>
      <c r="L34" s="49"/>
      <c r="M34" s="49">
        <v>649003092</v>
      </c>
      <c r="N34" s="49">
        <v>66716</v>
      </c>
      <c r="O34" s="49" t="s">
        <v>350</v>
      </c>
      <c r="P34" s="49" t="s">
        <v>348</v>
      </c>
      <c r="Q34" s="49" t="s">
        <v>145</v>
      </c>
      <c r="R34" s="49" t="s">
        <v>211</v>
      </c>
      <c r="S34" s="49"/>
      <c r="T34" s="49" t="s">
        <v>346</v>
      </c>
      <c r="U34" s="49"/>
      <c r="V34" s="49" t="s">
        <v>351</v>
      </c>
      <c r="W34" s="49" t="s">
        <v>320</v>
      </c>
      <c r="X34" s="50" t="s">
        <v>42</v>
      </c>
      <c r="Y34" s="49">
        <v>5954</v>
      </c>
      <c r="Z34" s="50" t="str">
        <f t="shared" si="0"/>
        <v>HRE</v>
      </c>
    </row>
    <row r="35" spans="1:26" x14ac:dyDescent="0.3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50"/>
      <c r="Y35" s="49"/>
      <c r="Z35" s="50"/>
    </row>
    <row r="36" spans="1:26" x14ac:dyDescent="0.3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50"/>
      <c r="Y36" s="49"/>
      <c r="Z36" s="50"/>
    </row>
    <row r="37" spans="1:26" x14ac:dyDescent="0.3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50"/>
      <c r="Y37" s="49"/>
      <c r="Z37" s="50"/>
    </row>
    <row r="38" spans="1:26" x14ac:dyDescent="0.3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50"/>
      <c r="Y38" s="49"/>
      <c r="Z38" s="50"/>
    </row>
    <row r="39" spans="1:26" x14ac:dyDescent="0.3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50"/>
      <c r="Y39" s="49"/>
      <c r="Z39" s="50"/>
    </row>
    <row r="40" spans="1:26" x14ac:dyDescent="0.3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50"/>
      <c r="Y40" s="49"/>
      <c r="Z40" s="50"/>
    </row>
    <row r="41" spans="1:26" x14ac:dyDescent="0.3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50"/>
      <c r="Y41" s="49"/>
      <c r="Z41" s="50"/>
    </row>
    <row r="42" spans="1:26" x14ac:dyDescent="0.3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50"/>
      <c r="Y42" s="49"/>
      <c r="Z42" s="50"/>
    </row>
    <row r="43" spans="1:26" x14ac:dyDescent="0.3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50"/>
      <c r="Y43" s="49"/>
      <c r="Z43" s="50"/>
    </row>
    <row r="44" spans="1:26" x14ac:dyDescent="0.3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50"/>
      <c r="Y44" s="49"/>
      <c r="Z44" s="50"/>
    </row>
    <row r="45" spans="1:26" x14ac:dyDescent="0.3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50"/>
      <c r="Y45" s="49"/>
      <c r="Z45" s="50"/>
    </row>
    <row r="46" spans="1:26" x14ac:dyDescent="0.3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50"/>
      <c r="Y46" s="49"/>
      <c r="Z46" s="50"/>
    </row>
    <row r="47" spans="1:26" x14ac:dyDescent="0.3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50"/>
      <c r="Y47" s="49"/>
      <c r="Z47" s="50"/>
    </row>
    <row r="48" spans="1:26" x14ac:dyDescent="0.3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50"/>
      <c r="Y48" s="49"/>
      <c r="Z48" s="50"/>
    </row>
    <row r="49" spans="1:26" x14ac:dyDescent="0.3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50"/>
      <c r="Y49" s="49"/>
      <c r="Z49" s="50"/>
    </row>
    <row r="50" spans="1:26" x14ac:dyDescent="0.3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50"/>
      <c r="Y50" s="49"/>
      <c r="Z50" s="50"/>
    </row>
    <row r="51" spans="1:26" x14ac:dyDescent="0.3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50"/>
      <c r="Y51" s="49"/>
      <c r="Z51" s="50"/>
    </row>
    <row r="52" spans="1:26" x14ac:dyDescent="0.3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50"/>
      <c r="Y52" s="49"/>
      <c r="Z52" s="50"/>
    </row>
    <row r="53" spans="1:26" x14ac:dyDescent="0.3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50"/>
      <c r="Y53" s="49"/>
      <c r="Z53" s="50"/>
    </row>
    <row r="54" spans="1:26" x14ac:dyDescent="0.3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50"/>
      <c r="Y54" s="49"/>
      <c r="Z54" s="50"/>
    </row>
    <row r="55" spans="1:26" x14ac:dyDescent="0.3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50"/>
      <c r="Y55" s="49"/>
      <c r="Z55" s="50"/>
    </row>
    <row r="56" spans="1:26" x14ac:dyDescent="0.3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50"/>
      <c r="Y56" s="49"/>
      <c r="Z56" s="50"/>
    </row>
    <row r="57" spans="1:26" x14ac:dyDescent="0.3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50"/>
      <c r="Y57" s="49"/>
      <c r="Z57" s="50"/>
    </row>
    <row r="58" spans="1:26" x14ac:dyDescent="0.3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50"/>
      <c r="Y58" s="49"/>
      <c r="Z58" s="50"/>
    </row>
    <row r="59" spans="1:26" x14ac:dyDescent="0.3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50"/>
      <c r="Y59" s="49"/>
      <c r="Z59" s="50"/>
    </row>
    <row r="60" spans="1:26" x14ac:dyDescent="0.3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50"/>
      <c r="Y60" s="49"/>
      <c r="Z60" s="50"/>
    </row>
    <row r="61" spans="1:26" x14ac:dyDescent="0.3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50"/>
      <c r="Y61" s="49"/>
      <c r="Z61" s="50"/>
    </row>
    <row r="62" spans="1:26" x14ac:dyDescent="0.3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50"/>
      <c r="Y62" s="49"/>
      <c r="Z62" s="50"/>
    </row>
    <row r="63" spans="1:26" x14ac:dyDescent="0.3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50"/>
      <c r="Y63" s="49"/>
      <c r="Z63" s="50"/>
    </row>
    <row r="64" spans="1:26" x14ac:dyDescent="0.3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50"/>
      <c r="Y64" s="49"/>
      <c r="Z64" s="50"/>
    </row>
    <row r="65" spans="1:26" x14ac:dyDescent="0.3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50"/>
      <c r="Y65" s="49"/>
      <c r="Z65" s="50"/>
    </row>
    <row r="66" spans="1:26" x14ac:dyDescent="0.3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50"/>
      <c r="Y66" s="49"/>
      <c r="Z66" s="50"/>
    </row>
    <row r="67" spans="1:26" x14ac:dyDescent="0.3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50"/>
      <c r="Y67" s="49"/>
      <c r="Z67" s="50"/>
    </row>
    <row r="68" spans="1:26" x14ac:dyDescent="0.3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50"/>
      <c r="Y68" s="49"/>
      <c r="Z68" s="50"/>
    </row>
    <row r="69" spans="1:26" x14ac:dyDescent="0.3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50"/>
      <c r="Y69" s="49"/>
      <c r="Z69" s="50"/>
    </row>
    <row r="70" spans="1:26" x14ac:dyDescent="0.3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50"/>
      <c r="Y70" s="49"/>
      <c r="Z70" s="50"/>
    </row>
    <row r="71" spans="1:26" x14ac:dyDescent="0.3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50"/>
      <c r="Y71" s="49"/>
      <c r="Z71" s="50"/>
    </row>
    <row r="72" spans="1:26" x14ac:dyDescent="0.3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50"/>
      <c r="Y72" s="49"/>
      <c r="Z72" s="50"/>
    </row>
    <row r="73" spans="1:26" x14ac:dyDescent="0.3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50"/>
      <c r="Y73" s="49"/>
      <c r="Z73" s="50"/>
    </row>
    <row r="74" spans="1:26" x14ac:dyDescent="0.3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50"/>
      <c r="Y74" s="49"/>
      <c r="Z74" s="50"/>
    </row>
    <row r="75" spans="1:26" x14ac:dyDescent="0.3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50"/>
      <c r="Y75" s="49"/>
      <c r="Z75" s="50"/>
    </row>
    <row r="76" spans="1:26" x14ac:dyDescent="0.35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50"/>
      <c r="Y76" s="49"/>
      <c r="Z76" s="50"/>
    </row>
    <row r="77" spans="1:26" x14ac:dyDescent="0.35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50"/>
      <c r="Y77" s="49"/>
      <c r="Z77" s="50"/>
    </row>
    <row r="78" spans="1:26" x14ac:dyDescent="0.35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50"/>
      <c r="Y78" s="49"/>
      <c r="Z78" s="50"/>
    </row>
    <row r="79" spans="1:26" x14ac:dyDescent="0.35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50"/>
      <c r="Y79" s="49"/>
      <c r="Z79" s="50"/>
    </row>
    <row r="80" spans="1:26" x14ac:dyDescent="0.35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50"/>
      <c r="Y80" s="49"/>
      <c r="Z80" s="50"/>
    </row>
    <row r="81" spans="1:26" x14ac:dyDescent="0.35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50"/>
      <c r="Y81" s="49"/>
      <c r="Z81" s="50"/>
    </row>
    <row r="82" spans="1:26" x14ac:dyDescent="0.35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50"/>
      <c r="Y82" s="49"/>
      <c r="Z82" s="50"/>
    </row>
    <row r="83" spans="1:26" x14ac:dyDescent="0.3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50"/>
      <c r="Y83" s="49"/>
      <c r="Z83" s="50"/>
    </row>
    <row r="84" spans="1:26" x14ac:dyDescent="0.35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50"/>
      <c r="Y84" s="49"/>
      <c r="Z84" s="50"/>
    </row>
    <row r="85" spans="1:26" x14ac:dyDescent="0.35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50"/>
      <c r="Y85" s="49"/>
      <c r="Z85" s="50"/>
    </row>
    <row r="86" spans="1:26" x14ac:dyDescent="0.35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50"/>
      <c r="Y86" s="49"/>
      <c r="Z86" s="50"/>
    </row>
    <row r="87" spans="1:26" x14ac:dyDescent="0.35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50"/>
      <c r="Y87" s="49"/>
      <c r="Z87" s="50"/>
    </row>
    <row r="88" spans="1:26" x14ac:dyDescent="0.35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50"/>
      <c r="Y88" s="49"/>
      <c r="Z88" s="50"/>
    </row>
    <row r="89" spans="1:26" x14ac:dyDescent="0.35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50"/>
      <c r="Y89" s="49"/>
      <c r="Z89" s="50"/>
    </row>
    <row r="90" spans="1:26" x14ac:dyDescent="0.3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50"/>
      <c r="Y90" s="49"/>
      <c r="Z90" s="50"/>
    </row>
    <row r="91" spans="1:26" x14ac:dyDescent="0.35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50"/>
      <c r="Y91" s="49"/>
      <c r="Z91" s="50"/>
    </row>
    <row r="92" spans="1:26" x14ac:dyDescent="0.35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50"/>
      <c r="Y92" s="49"/>
      <c r="Z92" s="50"/>
    </row>
    <row r="93" spans="1:26" x14ac:dyDescent="0.35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50"/>
      <c r="Y93" s="49"/>
      <c r="Z93" s="50"/>
    </row>
    <row r="94" spans="1:26" x14ac:dyDescent="0.35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50"/>
      <c r="Y94" s="49"/>
      <c r="Z94" s="50"/>
    </row>
    <row r="95" spans="1:26" x14ac:dyDescent="0.35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50"/>
      <c r="Y95" s="49"/>
      <c r="Z95" s="50"/>
    </row>
    <row r="96" spans="1:26" x14ac:dyDescent="0.35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50"/>
      <c r="Y96" s="49"/>
      <c r="Z96" s="50"/>
    </row>
    <row r="97" spans="1:26" x14ac:dyDescent="0.35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50"/>
      <c r="Y97" s="49"/>
      <c r="Z97" s="50"/>
    </row>
    <row r="98" spans="1:26" x14ac:dyDescent="0.35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50"/>
      <c r="Y98" s="49"/>
      <c r="Z98" s="50"/>
    </row>
    <row r="99" spans="1:26" x14ac:dyDescent="0.35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50"/>
      <c r="Y99" s="49"/>
      <c r="Z99" s="50"/>
    </row>
    <row r="100" spans="1:26" x14ac:dyDescent="0.35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50"/>
      <c r="Y100" s="49"/>
      <c r="Z100" s="50"/>
    </row>
    <row r="101" spans="1:26" x14ac:dyDescent="0.35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50"/>
      <c r="Y101" s="49"/>
      <c r="Z101" s="50"/>
    </row>
    <row r="102" spans="1:26" x14ac:dyDescent="0.35">
      <c r="A102" s="49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50"/>
      <c r="Y102" s="49"/>
      <c r="Z102" s="50"/>
    </row>
    <row r="103" spans="1:26" x14ac:dyDescent="0.35">
      <c r="A103" s="49"/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50"/>
      <c r="Y103" s="49"/>
      <c r="Z103" s="50"/>
    </row>
    <row r="104" spans="1:26" x14ac:dyDescent="0.35">
      <c r="A104" s="49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50"/>
      <c r="Y104" s="49"/>
      <c r="Z104" s="50"/>
    </row>
    <row r="105" spans="1:26" x14ac:dyDescent="0.35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50"/>
      <c r="Y105" s="49"/>
      <c r="Z105" s="50"/>
    </row>
    <row r="106" spans="1:26" x14ac:dyDescent="0.35">
      <c r="A106" s="49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50"/>
      <c r="Y106" s="49"/>
      <c r="Z106" s="50"/>
    </row>
    <row r="107" spans="1:26" x14ac:dyDescent="0.35">
      <c r="A107" s="49"/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50"/>
      <c r="Y107" s="49"/>
      <c r="Z107" s="50"/>
    </row>
    <row r="108" spans="1:26" x14ac:dyDescent="0.35">
      <c r="A108" s="49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50"/>
      <c r="Y108" s="49"/>
      <c r="Z108" s="50"/>
    </row>
    <row r="109" spans="1:26" x14ac:dyDescent="0.35">
      <c r="A109" s="49"/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50"/>
      <c r="Y109" s="49"/>
      <c r="Z109" s="50"/>
    </row>
    <row r="110" spans="1:26" x14ac:dyDescent="0.35">
      <c r="A110" s="49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50"/>
      <c r="Y110" s="49"/>
      <c r="Z110" s="50"/>
    </row>
    <row r="111" spans="1:26" x14ac:dyDescent="0.35">
      <c r="A111" s="49"/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50"/>
      <c r="Y111" s="49"/>
      <c r="Z111" s="50"/>
    </row>
    <row r="112" spans="1:26" x14ac:dyDescent="0.35">
      <c r="A112" s="49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50"/>
      <c r="Y112" s="49"/>
      <c r="Z112" s="50"/>
    </row>
    <row r="113" spans="1:26" x14ac:dyDescent="0.35">
      <c r="A113" s="49"/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50"/>
      <c r="Y113" s="49"/>
      <c r="Z113" s="50"/>
    </row>
    <row r="114" spans="1:26" x14ac:dyDescent="0.35">
      <c r="A114" s="49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50"/>
      <c r="Y114" s="49"/>
      <c r="Z114" s="50"/>
    </row>
    <row r="115" spans="1:26" x14ac:dyDescent="0.35">
      <c r="A115" s="49"/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50"/>
      <c r="Y115" s="49"/>
      <c r="Z115" s="50"/>
    </row>
    <row r="116" spans="1:26" x14ac:dyDescent="0.35">
      <c r="A116" s="49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50"/>
      <c r="Y116" s="49"/>
      <c r="Z116" s="50"/>
    </row>
    <row r="117" spans="1:26" x14ac:dyDescent="0.35">
      <c r="A117" s="49"/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50"/>
      <c r="Y117" s="49"/>
      <c r="Z117" s="50"/>
    </row>
    <row r="118" spans="1:26" x14ac:dyDescent="0.35">
      <c r="A118" s="49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50"/>
      <c r="Y118" s="49"/>
      <c r="Z118" s="50"/>
    </row>
    <row r="119" spans="1:26" x14ac:dyDescent="0.35">
      <c r="A119" s="49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50"/>
      <c r="Y119" s="49"/>
      <c r="Z119" s="50"/>
    </row>
    <row r="120" spans="1:26" x14ac:dyDescent="0.35">
      <c r="A120" s="49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50"/>
      <c r="Y120" s="49"/>
      <c r="Z120" s="50"/>
    </row>
    <row r="121" spans="1:26" x14ac:dyDescent="0.35">
      <c r="A121" s="49"/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50"/>
      <c r="Y121" s="49"/>
      <c r="Z121" s="50"/>
    </row>
    <row r="122" spans="1:26" x14ac:dyDescent="0.35">
      <c r="A122" s="49"/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50"/>
      <c r="Y122" s="49"/>
      <c r="Z122" s="50"/>
    </row>
    <row r="123" spans="1:26" x14ac:dyDescent="0.35">
      <c r="A123" s="49"/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50"/>
      <c r="Y123" s="49"/>
      <c r="Z123" s="50"/>
    </row>
    <row r="124" spans="1:26" x14ac:dyDescent="0.35">
      <c r="A124" s="49"/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50"/>
      <c r="Y124" s="49"/>
      <c r="Z124" s="50"/>
    </row>
    <row r="125" spans="1:26" x14ac:dyDescent="0.35">
      <c r="A125" s="49"/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50"/>
      <c r="Y125" s="49"/>
      <c r="Z125" s="50"/>
    </row>
    <row r="126" spans="1:26" x14ac:dyDescent="0.35">
      <c r="A126" s="49"/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50"/>
      <c r="Y126" s="49"/>
      <c r="Z126" s="50"/>
    </row>
    <row r="127" spans="1:26" x14ac:dyDescent="0.35">
      <c r="A127" s="49"/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50"/>
      <c r="Y127" s="49"/>
      <c r="Z127" s="50"/>
    </row>
    <row r="128" spans="1:26" x14ac:dyDescent="0.35">
      <c r="A128" s="49"/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50"/>
      <c r="Y128" s="49"/>
      <c r="Z128" s="50"/>
    </row>
    <row r="129" spans="1:26" x14ac:dyDescent="0.35">
      <c r="A129" s="49"/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50"/>
      <c r="Y129" s="49"/>
      <c r="Z129" s="50"/>
    </row>
    <row r="130" spans="1:26" x14ac:dyDescent="0.35">
      <c r="A130" s="49"/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50"/>
      <c r="Y130" s="49"/>
      <c r="Z130" s="50"/>
    </row>
    <row r="131" spans="1:26" x14ac:dyDescent="0.35">
      <c r="A131" s="49"/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50"/>
      <c r="Y131" s="49"/>
      <c r="Z131" s="50"/>
    </row>
    <row r="132" spans="1:26" x14ac:dyDescent="0.35">
      <c r="A132" s="49"/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50"/>
      <c r="Y132" s="49"/>
      <c r="Z132" s="50"/>
    </row>
    <row r="133" spans="1:26" x14ac:dyDescent="0.35">
      <c r="A133" s="49"/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50"/>
      <c r="Y133" s="49"/>
      <c r="Z133" s="50"/>
    </row>
    <row r="134" spans="1:26" x14ac:dyDescent="0.35">
      <c r="A134" s="49"/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50"/>
      <c r="Y134" s="49"/>
      <c r="Z134" s="50"/>
    </row>
    <row r="135" spans="1:26" x14ac:dyDescent="0.35">
      <c r="A135" s="49"/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50"/>
      <c r="Y135" s="49"/>
      <c r="Z135" s="50"/>
    </row>
    <row r="136" spans="1:26" x14ac:dyDescent="0.35">
      <c r="A136" s="49"/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50"/>
      <c r="Y136" s="49"/>
      <c r="Z136" s="50"/>
    </row>
    <row r="137" spans="1:26" x14ac:dyDescent="0.35">
      <c r="A137" s="49"/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50"/>
      <c r="Y137" s="49"/>
      <c r="Z137" s="50"/>
    </row>
    <row r="138" spans="1:26" x14ac:dyDescent="0.35">
      <c r="A138" s="49"/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50"/>
      <c r="Y138" s="49"/>
      <c r="Z138" s="50"/>
    </row>
    <row r="139" spans="1:26" x14ac:dyDescent="0.35">
      <c r="A139" s="49"/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50"/>
      <c r="Y139" s="49"/>
      <c r="Z139" s="50"/>
    </row>
    <row r="140" spans="1:26" x14ac:dyDescent="0.35">
      <c r="A140" s="49"/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50"/>
      <c r="Y140" s="49"/>
      <c r="Z140" s="50"/>
    </row>
    <row r="141" spans="1:26" x14ac:dyDescent="0.35">
      <c r="A141" s="49"/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50"/>
      <c r="Y141" s="49"/>
      <c r="Z141" s="50"/>
    </row>
    <row r="142" spans="1:26" x14ac:dyDescent="0.35">
      <c r="A142" s="49"/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50"/>
      <c r="Y142" s="49"/>
      <c r="Z142" s="50"/>
    </row>
    <row r="143" spans="1:26" x14ac:dyDescent="0.35">
      <c r="A143" s="49"/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50"/>
      <c r="Y143" s="49"/>
      <c r="Z143" s="50"/>
    </row>
    <row r="144" spans="1:26" x14ac:dyDescent="0.35">
      <c r="A144" s="49"/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50"/>
      <c r="Y144" s="49"/>
      <c r="Z144" s="50"/>
    </row>
    <row r="145" spans="1:26" x14ac:dyDescent="0.35">
      <c r="A145" s="49"/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50"/>
      <c r="Y145" s="49"/>
      <c r="Z145" s="50"/>
    </row>
    <row r="146" spans="1:26" x14ac:dyDescent="0.35">
      <c r="A146" s="49"/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50"/>
      <c r="Y146" s="49"/>
      <c r="Z146" s="50"/>
    </row>
    <row r="147" spans="1:26" x14ac:dyDescent="0.35">
      <c r="A147" s="49"/>
      <c r="B147" s="49"/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50"/>
      <c r="Y147" s="49"/>
      <c r="Z147" s="50"/>
    </row>
    <row r="148" spans="1:26" x14ac:dyDescent="0.35">
      <c r="A148" s="49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50"/>
      <c r="Y148" s="49"/>
      <c r="Z148" s="50"/>
    </row>
    <row r="149" spans="1:26" x14ac:dyDescent="0.35">
      <c r="A149" s="49"/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50"/>
      <c r="Y149" s="49"/>
      <c r="Z149" s="50"/>
    </row>
    <row r="150" spans="1:26" x14ac:dyDescent="0.35">
      <c r="A150" s="49"/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50"/>
      <c r="Y150" s="49"/>
      <c r="Z150" s="50"/>
    </row>
    <row r="151" spans="1:26" x14ac:dyDescent="0.35">
      <c r="A151" s="49"/>
      <c r="B151" s="49"/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50"/>
      <c r="Y151" s="49"/>
      <c r="Z151" s="50"/>
    </row>
    <row r="152" spans="1:26" x14ac:dyDescent="0.35">
      <c r="A152" s="49"/>
      <c r="B152" s="49"/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50"/>
      <c r="Y152" s="49"/>
      <c r="Z152" s="50"/>
    </row>
    <row r="153" spans="1:26" x14ac:dyDescent="0.35">
      <c r="A153" s="49"/>
      <c r="B153" s="49"/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50"/>
      <c r="Y153" s="49"/>
      <c r="Z153" s="50"/>
    </row>
    <row r="154" spans="1:26" x14ac:dyDescent="0.35">
      <c r="A154" s="49"/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50"/>
      <c r="Y154" s="49"/>
      <c r="Z154" s="50"/>
    </row>
    <row r="155" spans="1:26" x14ac:dyDescent="0.35">
      <c r="A155" s="49"/>
      <c r="B155" s="49"/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50"/>
      <c r="Y155" s="49"/>
      <c r="Z155" s="50"/>
    </row>
    <row r="156" spans="1:26" x14ac:dyDescent="0.35">
      <c r="A156" s="49"/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50"/>
      <c r="Y156" s="49"/>
      <c r="Z156" s="50"/>
    </row>
    <row r="157" spans="1:26" x14ac:dyDescent="0.35">
      <c r="A157" s="49"/>
      <c r="B157" s="49"/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50"/>
      <c r="Y157" s="49"/>
      <c r="Z157" s="50"/>
    </row>
    <row r="158" spans="1:26" x14ac:dyDescent="0.35">
      <c r="A158" s="49"/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50"/>
      <c r="Y158" s="49"/>
      <c r="Z158" s="50"/>
    </row>
    <row r="159" spans="1:26" x14ac:dyDescent="0.35">
      <c r="A159" s="49"/>
      <c r="B159" s="49"/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50"/>
      <c r="Y159" s="49"/>
      <c r="Z159" s="50"/>
    </row>
    <row r="160" spans="1:26" x14ac:dyDescent="0.35">
      <c r="A160" s="49"/>
      <c r="B160" s="49"/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50"/>
      <c r="Y160" s="49"/>
      <c r="Z160" s="50"/>
    </row>
    <row r="161" spans="1:26" x14ac:dyDescent="0.35">
      <c r="A161" s="49"/>
      <c r="B161" s="49"/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50"/>
      <c r="Y161" s="49"/>
      <c r="Z161" s="50"/>
    </row>
    <row r="162" spans="1:26" x14ac:dyDescent="0.35">
      <c r="A162" s="49"/>
      <c r="B162" s="49"/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50"/>
      <c r="Y162" s="49"/>
      <c r="Z162" s="50"/>
    </row>
    <row r="163" spans="1:26" x14ac:dyDescent="0.35">
      <c r="A163" s="49"/>
      <c r="B163" s="49"/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50"/>
      <c r="Y163" s="49"/>
      <c r="Z163" s="50"/>
    </row>
    <row r="164" spans="1:26" x14ac:dyDescent="0.35">
      <c r="A164" s="49"/>
      <c r="B164" s="49"/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50"/>
      <c r="Y164" s="49"/>
      <c r="Z164" s="50"/>
    </row>
    <row r="165" spans="1:26" x14ac:dyDescent="0.35">
      <c r="A165" s="49"/>
      <c r="B165" s="49"/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50"/>
      <c r="Y165" s="49"/>
      <c r="Z165" s="50"/>
    </row>
    <row r="166" spans="1:26" x14ac:dyDescent="0.35">
      <c r="A166" s="49"/>
      <c r="B166" s="49"/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50"/>
      <c r="Y166" s="49"/>
      <c r="Z166" s="50"/>
    </row>
    <row r="167" spans="1:26" x14ac:dyDescent="0.35">
      <c r="A167" s="49"/>
      <c r="B167" s="49"/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50"/>
      <c r="Y167" s="49"/>
      <c r="Z167" s="50"/>
    </row>
    <row r="168" spans="1:26" x14ac:dyDescent="0.35">
      <c r="A168" s="49"/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50"/>
      <c r="Y168" s="49"/>
      <c r="Z168" s="50"/>
    </row>
    <row r="169" spans="1:26" x14ac:dyDescent="0.35">
      <c r="A169" s="49"/>
      <c r="B169" s="49"/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50"/>
      <c r="Y169" s="49"/>
      <c r="Z169" s="50"/>
    </row>
    <row r="170" spans="1:26" x14ac:dyDescent="0.35">
      <c r="A170" s="49"/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50"/>
      <c r="Y170" s="49"/>
      <c r="Z170" s="50"/>
    </row>
    <row r="171" spans="1:26" x14ac:dyDescent="0.35">
      <c r="A171" s="49"/>
      <c r="B171" s="49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50"/>
      <c r="Y171" s="49"/>
      <c r="Z171" s="50"/>
    </row>
    <row r="172" spans="1:26" x14ac:dyDescent="0.35">
      <c r="A172" s="49"/>
      <c r="B172" s="49"/>
      <c r="C172" s="49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50"/>
      <c r="Y172" s="49"/>
      <c r="Z172" s="50"/>
    </row>
    <row r="173" spans="1:26" x14ac:dyDescent="0.35">
      <c r="A173" s="49"/>
      <c r="B173" s="49"/>
      <c r="C173" s="49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50"/>
      <c r="Y173" s="49"/>
      <c r="Z173" s="50"/>
    </row>
    <row r="174" spans="1:26" x14ac:dyDescent="0.35">
      <c r="A174" s="49"/>
      <c r="B174" s="49"/>
      <c r="C174" s="49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50"/>
      <c r="Y174" s="49"/>
      <c r="Z174" s="50"/>
    </row>
    <row r="175" spans="1:26" x14ac:dyDescent="0.35">
      <c r="A175" s="49"/>
      <c r="B175" s="49"/>
      <c r="C175" s="49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50"/>
      <c r="Y175" s="49"/>
      <c r="Z175" s="50"/>
    </row>
    <row r="176" spans="1:26" x14ac:dyDescent="0.35">
      <c r="A176" s="49"/>
      <c r="B176" s="49"/>
      <c r="C176" s="49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50"/>
      <c r="Y176" s="49"/>
      <c r="Z176" s="50"/>
    </row>
    <row r="177" spans="1:26" x14ac:dyDescent="0.35">
      <c r="A177" s="49"/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50"/>
      <c r="Y177" s="49"/>
      <c r="Z177" s="50"/>
    </row>
    <row r="178" spans="1:26" x14ac:dyDescent="0.35">
      <c r="A178" s="49"/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50"/>
      <c r="Y178" s="49"/>
      <c r="Z178" s="50"/>
    </row>
    <row r="179" spans="1:26" x14ac:dyDescent="0.35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50"/>
      <c r="Y179" s="49"/>
      <c r="Z179" s="50"/>
    </row>
    <row r="180" spans="1:26" x14ac:dyDescent="0.35">
      <c r="A180" s="49"/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50"/>
      <c r="Y180" s="49"/>
      <c r="Z180" s="50"/>
    </row>
    <row r="181" spans="1:26" x14ac:dyDescent="0.35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50"/>
      <c r="Y181" s="49"/>
      <c r="Z181" s="50"/>
    </row>
    <row r="182" spans="1:26" x14ac:dyDescent="0.35">
      <c r="A182" s="49"/>
      <c r="B182" s="49"/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50"/>
      <c r="Y182" s="49"/>
      <c r="Z182" s="50"/>
    </row>
    <row r="183" spans="1:26" x14ac:dyDescent="0.35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50"/>
      <c r="Y183" s="49"/>
      <c r="Z183" s="50"/>
    </row>
    <row r="184" spans="1:26" x14ac:dyDescent="0.35">
      <c r="A184" s="49"/>
      <c r="B184" s="49"/>
      <c r="C184" s="49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50"/>
      <c r="Y184" s="49"/>
      <c r="Z184" s="50"/>
    </row>
    <row r="185" spans="1:26" x14ac:dyDescent="0.35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50"/>
      <c r="Y185" s="49"/>
      <c r="Z185" s="50"/>
    </row>
    <row r="186" spans="1:26" x14ac:dyDescent="0.35">
      <c r="A186" s="49"/>
      <c r="B186" s="49"/>
      <c r="C186" s="49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50"/>
      <c r="Y186" s="49"/>
      <c r="Z186" s="50"/>
    </row>
    <row r="187" spans="1:26" x14ac:dyDescent="0.35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50"/>
      <c r="Y187" s="49"/>
      <c r="Z187" s="50"/>
    </row>
    <row r="188" spans="1:26" x14ac:dyDescent="0.35">
      <c r="A188" s="49"/>
      <c r="B188" s="49"/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50"/>
      <c r="Y188" s="49"/>
      <c r="Z188" s="50"/>
    </row>
    <row r="189" spans="1:26" x14ac:dyDescent="0.35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50"/>
      <c r="Y189" s="49"/>
      <c r="Z189" s="50"/>
    </row>
    <row r="190" spans="1:26" x14ac:dyDescent="0.35">
      <c r="A190" s="49"/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50"/>
      <c r="Y190" s="49"/>
      <c r="Z190" s="50"/>
    </row>
    <row r="191" spans="1:26" x14ac:dyDescent="0.35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50"/>
      <c r="Y191" s="49"/>
      <c r="Z191" s="50"/>
    </row>
    <row r="192" spans="1:26" x14ac:dyDescent="0.35">
      <c r="A192" s="49"/>
      <c r="B192" s="49"/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50"/>
      <c r="Y192" s="49"/>
      <c r="Z192" s="50"/>
    </row>
    <row r="193" spans="1:26" x14ac:dyDescent="0.35">
      <c r="A193" s="49"/>
      <c r="B193" s="49"/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50"/>
      <c r="Y193" s="49"/>
      <c r="Z193" s="50"/>
    </row>
    <row r="194" spans="1:26" x14ac:dyDescent="0.35">
      <c r="A194" s="49"/>
      <c r="B194" s="49"/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50"/>
      <c r="Y194" s="49"/>
      <c r="Z194" s="50"/>
    </row>
    <row r="195" spans="1:26" x14ac:dyDescent="0.35">
      <c r="A195" s="49"/>
      <c r="B195" s="49"/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50"/>
      <c r="Y195" s="49"/>
      <c r="Z195" s="50"/>
    </row>
    <row r="196" spans="1:26" x14ac:dyDescent="0.35">
      <c r="A196" s="49"/>
      <c r="B196" s="49"/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50"/>
      <c r="Y196" s="49"/>
      <c r="Z196" s="50"/>
    </row>
    <row r="197" spans="1:26" x14ac:dyDescent="0.35">
      <c r="A197" s="49"/>
      <c r="B197" s="49"/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50"/>
      <c r="Y197" s="49"/>
      <c r="Z197" s="50"/>
    </row>
    <row r="198" spans="1:26" x14ac:dyDescent="0.35">
      <c r="A198" s="49"/>
      <c r="B198" s="49"/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50"/>
      <c r="Y198" s="49"/>
      <c r="Z198" s="50"/>
    </row>
    <row r="199" spans="1:26" x14ac:dyDescent="0.35">
      <c r="A199" s="49"/>
      <c r="B199" s="49"/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50"/>
      <c r="Y199" s="49"/>
      <c r="Z199" s="50"/>
    </row>
    <row r="200" spans="1:26" x14ac:dyDescent="0.35">
      <c r="A200" s="49"/>
      <c r="B200" s="49"/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50"/>
      <c r="Y200" s="49"/>
      <c r="Z200" s="50"/>
    </row>
    <row r="201" spans="1:26" x14ac:dyDescent="0.35">
      <c r="A201" s="49"/>
      <c r="B201" s="49"/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50"/>
      <c r="Y201" s="49"/>
      <c r="Z201" s="50"/>
    </row>
    <row r="202" spans="1:26" x14ac:dyDescent="0.35">
      <c r="A202" s="49"/>
      <c r="B202" s="49"/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50"/>
      <c r="Y202" s="49"/>
      <c r="Z202" s="50"/>
    </row>
    <row r="203" spans="1:26" x14ac:dyDescent="0.35">
      <c r="A203" s="49"/>
      <c r="B203" s="49"/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50"/>
      <c r="Y203" s="49"/>
      <c r="Z203" s="50"/>
    </row>
    <row r="204" spans="1:26" x14ac:dyDescent="0.35">
      <c r="A204" s="49"/>
      <c r="B204" s="49"/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50"/>
      <c r="Y204" s="49"/>
      <c r="Z204" s="50"/>
    </row>
    <row r="205" spans="1:26" x14ac:dyDescent="0.35">
      <c r="A205" s="49"/>
      <c r="B205" s="49"/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50"/>
      <c r="Y205" s="49"/>
      <c r="Z205" s="50"/>
    </row>
    <row r="206" spans="1:26" x14ac:dyDescent="0.35">
      <c r="A206" s="49"/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50"/>
      <c r="Y206" s="49"/>
      <c r="Z206" s="50"/>
    </row>
    <row r="207" spans="1:26" x14ac:dyDescent="0.35">
      <c r="A207" s="49"/>
      <c r="B207" s="49"/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50"/>
      <c r="Y207" s="49"/>
      <c r="Z207" s="50"/>
    </row>
    <row r="208" spans="1:26" x14ac:dyDescent="0.35">
      <c r="A208" s="49"/>
      <c r="B208" s="49"/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50"/>
      <c r="Y208" s="49"/>
      <c r="Z208" s="50"/>
    </row>
    <row r="209" spans="1:26" x14ac:dyDescent="0.35">
      <c r="A209" s="49"/>
      <c r="B209" s="49"/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50"/>
      <c r="Y209" s="49"/>
      <c r="Z209" s="50"/>
    </row>
    <row r="210" spans="1:26" x14ac:dyDescent="0.35">
      <c r="A210" s="49"/>
      <c r="B210" s="49"/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50"/>
      <c r="Y210" s="49"/>
      <c r="Z210" s="50"/>
    </row>
    <row r="211" spans="1:26" x14ac:dyDescent="0.35">
      <c r="A211" s="49"/>
      <c r="B211" s="49"/>
      <c r="C211" s="49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50"/>
      <c r="Y211" s="49"/>
      <c r="Z211" s="50"/>
    </row>
    <row r="212" spans="1:26" x14ac:dyDescent="0.35">
      <c r="A212" s="49"/>
      <c r="B212" s="49"/>
      <c r="C212" s="49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50"/>
      <c r="Y212" s="49"/>
      <c r="Z212" s="50"/>
    </row>
    <row r="213" spans="1:26" x14ac:dyDescent="0.35">
      <c r="A213" s="49"/>
      <c r="B213" s="49"/>
      <c r="C213" s="49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50"/>
      <c r="Y213" s="49"/>
      <c r="Z213" s="50"/>
    </row>
    <row r="214" spans="1:26" x14ac:dyDescent="0.35">
      <c r="A214" s="49"/>
      <c r="B214" s="49"/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50"/>
      <c r="Y214" s="49"/>
      <c r="Z214" s="50"/>
    </row>
    <row r="215" spans="1:26" x14ac:dyDescent="0.35">
      <c r="A215" s="49"/>
      <c r="B215" s="49"/>
      <c r="C215" s="49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50"/>
      <c r="Y215" s="49"/>
      <c r="Z215" s="50"/>
    </row>
    <row r="216" spans="1:26" x14ac:dyDescent="0.35">
      <c r="A216" s="49"/>
      <c r="B216" s="49"/>
      <c r="C216" s="49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50"/>
      <c r="Y216" s="49"/>
      <c r="Z216" s="50"/>
    </row>
    <row r="217" spans="1:26" x14ac:dyDescent="0.35">
      <c r="A217" s="49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50"/>
      <c r="Y217" s="49"/>
      <c r="Z217" s="50"/>
    </row>
    <row r="218" spans="1:26" x14ac:dyDescent="0.35">
      <c r="A218" s="49"/>
      <c r="B218" s="49"/>
      <c r="C218" s="49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50"/>
      <c r="Y218" s="49"/>
      <c r="Z218" s="50"/>
    </row>
    <row r="219" spans="1:26" x14ac:dyDescent="0.35">
      <c r="A219" s="49"/>
      <c r="B219" s="49"/>
      <c r="C219" s="49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50"/>
      <c r="Y219" s="49"/>
      <c r="Z219" s="50"/>
    </row>
    <row r="220" spans="1:26" x14ac:dyDescent="0.35">
      <c r="A220" s="49"/>
      <c r="B220" s="49"/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50"/>
      <c r="Y220" s="49"/>
      <c r="Z220" s="50"/>
    </row>
    <row r="221" spans="1:26" x14ac:dyDescent="0.35">
      <c r="A221" s="49"/>
      <c r="B221" s="49"/>
      <c r="C221" s="49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50"/>
      <c r="Y221" s="49"/>
      <c r="Z221" s="50"/>
    </row>
    <row r="222" spans="1:26" x14ac:dyDescent="0.35">
      <c r="A222" s="49"/>
      <c r="B222" s="49"/>
      <c r="C222" s="49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50"/>
      <c r="Y222" s="49"/>
      <c r="Z222" s="50"/>
    </row>
    <row r="223" spans="1:26" x14ac:dyDescent="0.35">
      <c r="A223" s="49"/>
      <c r="B223" s="49"/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50"/>
      <c r="Y223" s="49"/>
      <c r="Z223" s="50"/>
    </row>
    <row r="224" spans="1:26" x14ac:dyDescent="0.35">
      <c r="A224" s="49"/>
      <c r="B224" s="49"/>
      <c r="C224" s="49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50"/>
      <c r="Y224" s="49"/>
      <c r="Z224" s="50"/>
    </row>
    <row r="225" spans="1:26" x14ac:dyDescent="0.35">
      <c r="A225" s="49"/>
      <c r="B225" s="49"/>
      <c r="C225" s="49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50"/>
      <c r="Y225" s="49"/>
      <c r="Z225" s="50"/>
    </row>
    <row r="226" spans="1:26" x14ac:dyDescent="0.35">
      <c r="A226" s="49"/>
      <c r="B226" s="49"/>
      <c r="C226" s="49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50"/>
      <c r="Y226" s="49"/>
      <c r="Z226" s="50"/>
    </row>
    <row r="227" spans="1:26" x14ac:dyDescent="0.35">
      <c r="A227" s="49"/>
      <c r="B227" s="49"/>
      <c r="C227" s="49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50"/>
      <c r="Y227" s="49"/>
      <c r="Z227" s="50"/>
    </row>
    <row r="228" spans="1:26" x14ac:dyDescent="0.35">
      <c r="A228" s="49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50"/>
      <c r="Y228" s="49"/>
      <c r="Z228" s="50"/>
    </row>
    <row r="229" spans="1:26" x14ac:dyDescent="0.35">
      <c r="A229" s="49"/>
      <c r="B229" s="49"/>
      <c r="C229" s="49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50"/>
      <c r="Y229" s="49"/>
      <c r="Z229" s="50"/>
    </row>
    <row r="230" spans="1:26" x14ac:dyDescent="0.35">
      <c r="A230" s="49"/>
      <c r="B230" s="49"/>
      <c r="C230" s="49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50"/>
      <c r="Y230" s="49"/>
      <c r="Z230" s="50"/>
    </row>
    <row r="231" spans="1:26" x14ac:dyDescent="0.35">
      <c r="A231" s="49"/>
      <c r="B231" s="49"/>
      <c r="C231" s="49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50"/>
      <c r="Y231" s="49"/>
      <c r="Z231" s="50"/>
    </row>
    <row r="232" spans="1:26" x14ac:dyDescent="0.35">
      <c r="A232" s="49"/>
      <c r="B232" s="49"/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50"/>
      <c r="Y232" s="49"/>
      <c r="Z232" s="50"/>
    </row>
    <row r="233" spans="1:26" x14ac:dyDescent="0.35">
      <c r="A233" s="49"/>
      <c r="B233" s="49"/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50"/>
      <c r="Y233" s="49"/>
      <c r="Z233" s="50"/>
    </row>
    <row r="234" spans="1:26" x14ac:dyDescent="0.35">
      <c r="A234" s="49"/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50"/>
      <c r="Y234" s="49"/>
      <c r="Z234" s="50"/>
    </row>
    <row r="235" spans="1:26" x14ac:dyDescent="0.35">
      <c r="A235" s="49"/>
      <c r="B235" s="49"/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50"/>
      <c r="Y235" s="49"/>
      <c r="Z235" s="50"/>
    </row>
    <row r="236" spans="1:26" x14ac:dyDescent="0.35">
      <c r="A236" s="49"/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50"/>
      <c r="Y236" s="49"/>
      <c r="Z236" s="50"/>
    </row>
    <row r="237" spans="1:26" x14ac:dyDescent="0.35">
      <c r="A237" s="49"/>
      <c r="B237" s="49"/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50"/>
      <c r="Y237" s="49"/>
      <c r="Z237" s="50"/>
    </row>
    <row r="238" spans="1:26" x14ac:dyDescent="0.35">
      <c r="A238" s="49"/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50"/>
      <c r="Y238" s="49"/>
      <c r="Z238" s="50"/>
    </row>
    <row r="239" spans="1:26" x14ac:dyDescent="0.35">
      <c r="A239" s="49"/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50"/>
      <c r="Y239" s="49"/>
      <c r="Z239" s="50"/>
    </row>
    <row r="240" spans="1:26" x14ac:dyDescent="0.35">
      <c r="A240" s="49"/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50"/>
      <c r="Y240" s="49"/>
      <c r="Z240" s="50"/>
    </row>
    <row r="241" spans="1:26" x14ac:dyDescent="0.35">
      <c r="A241" s="49"/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50"/>
      <c r="Y241" s="49"/>
      <c r="Z241" s="50"/>
    </row>
    <row r="242" spans="1:26" x14ac:dyDescent="0.35">
      <c r="A242" s="49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50"/>
      <c r="Y242" s="49"/>
      <c r="Z242" s="50"/>
    </row>
    <row r="243" spans="1:26" x14ac:dyDescent="0.35">
      <c r="A243" s="49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50"/>
      <c r="Y243" s="49"/>
      <c r="Z243" s="50"/>
    </row>
    <row r="244" spans="1:26" x14ac:dyDescent="0.35">
      <c r="A244" s="49"/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50"/>
      <c r="Y244" s="49"/>
      <c r="Z244" s="50"/>
    </row>
    <row r="245" spans="1:26" x14ac:dyDescent="0.35">
      <c r="A245" s="49"/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50"/>
      <c r="Y245" s="49"/>
      <c r="Z245" s="50"/>
    </row>
    <row r="246" spans="1:26" x14ac:dyDescent="0.35">
      <c r="A246" s="49"/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50"/>
      <c r="Y246" s="49"/>
      <c r="Z246" s="50"/>
    </row>
    <row r="247" spans="1:26" x14ac:dyDescent="0.35">
      <c r="A247" s="49"/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50"/>
      <c r="Y247" s="49"/>
      <c r="Z247" s="50"/>
    </row>
    <row r="248" spans="1:26" x14ac:dyDescent="0.35">
      <c r="A248" s="49"/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50"/>
      <c r="Y248" s="49"/>
      <c r="Z248" s="50"/>
    </row>
    <row r="249" spans="1:26" x14ac:dyDescent="0.35">
      <c r="A249" s="49"/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50"/>
      <c r="Y249" s="49"/>
      <c r="Z249" s="50"/>
    </row>
    <row r="250" spans="1:26" x14ac:dyDescent="0.35">
      <c r="A250" s="49"/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50"/>
      <c r="Y250" s="49"/>
      <c r="Z250" s="50"/>
    </row>
    <row r="251" spans="1:26" x14ac:dyDescent="0.35">
      <c r="A251" s="49"/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50"/>
      <c r="Y251" s="49"/>
      <c r="Z251" s="50"/>
    </row>
    <row r="252" spans="1:26" x14ac:dyDescent="0.35">
      <c r="A252" s="49"/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50"/>
      <c r="Y252" s="49"/>
      <c r="Z252" s="50"/>
    </row>
    <row r="253" spans="1:26" x14ac:dyDescent="0.35">
      <c r="A253" s="49"/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51"/>
      <c r="P253" s="49"/>
      <c r="Q253" s="49"/>
      <c r="R253" s="49"/>
      <c r="S253" s="49"/>
      <c r="T253" s="49"/>
      <c r="U253" s="49"/>
      <c r="V253" s="49"/>
      <c r="W253" s="49"/>
      <c r="X253" s="50"/>
      <c r="Y253" s="49"/>
      <c r="Z253" s="50"/>
    </row>
    <row r="254" spans="1:26" x14ac:dyDescent="0.35">
      <c r="A254" s="49"/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50"/>
      <c r="Y254" s="49"/>
      <c r="Z254" s="50"/>
    </row>
    <row r="255" spans="1:26" x14ac:dyDescent="0.35">
      <c r="A255" s="49"/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50"/>
      <c r="Y255" s="49"/>
      <c r="Z255" s="50"/>
    </row>
    <row r="256" spans="1:26" x14ac:dyDescent="0.35">
      <c r="A256" s="49"/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50"/>
      <c r="Y256" s="49"/>
      <c r="Z256" s="50"/>
    </row>
    <row r="257" spans="1:26" x14ac:dyDescent="0.35">
      <c r="A257" s="49"/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50"/>
      <c r="Y257" s="49"/>
      <c r="Z257" s="50"/>
    </row>
    <row r="258" spans="1:26" x14ac:dyDescent="0.35">
      <c r="A258" s="49"/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50"/>
      <c r="Y258" s="49"/>
      <c r="Z258" s="50"/>
    </row>
    <row r="259" spans="1:26" x14ac:dyDescent="0.35">
      <c r="A259" s="49"/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50"/>
      <c r="Y259" s="49"/>
      <c r="Z259" s="50"/>
    </row>
    <row r="260" spans="1:26" x14ac:dyDescent="0.35">
      <c r="A260" s="49"/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50"/>
      <c r="Y260" s="49"/>
      <c r="Z260" s="50"/>
    </row>
    <row r="261" spans="1:26" x14ac:dyDescent="0.35">
      <c r="A261" s="49"/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50"/>
      <c r="Y261" s="49"/>
      <c r="Z261" s="50"/>
    </row>
    <row r="262" spans="1:26" x14ac:dyDescent="0.35">
      <c r="A262" s="49"/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50"/>
      <c r="Y262" s="49"/>
      <c r="Z262" s="50"/>
    </row>
    <row r="263" spans="1:26" x14ac:dyDescent="0.35">
      <c r="A263" s="49"/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50"/>
      <c r="Y263" s="49"/>
      <c r="Z263" s="50"/>
    </row>
    <row r="264" spans="1:26" x14ac:dyDescent="0.35">
      <c r="A264" s="49"/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50"/>
      <c r="Y264" s="49"/>
      <c r="Z264" s="50"/>
    </row>
    <row r="265" spans="1:26" x14ac:dyDescent="0.35">
      <c r="A265" s="49"/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50"/>
      <c r="Y265" s="49"/>
      <c r="Z265" s="50"/>
    </row>
    <row r="266" spans="1:26" x14ac:dyDescent="0.35">
      <c r="A266" s="49"/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50"/>
      <c r="Y266" s="49"/>
      <c r="Z266" s="50"/>
    </row>
    <row r="267" spans="1:26" x14ac:dyDescent="0.35">
      <c r="A267" s="49"/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50"/>
      <c r="Y267" s="49"/>
      <c r="Z267" s="50"/>
    </row>
    <row r="268" spans="1:26" x14ac:dyDescent="0.35">
      <c r="A268" s="49"/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50"/>
      <c r="Y268" s="49"/>
      <c r="Z268" s="50"/>
    </row>
    <row r="269" spans="1:26" x14ac:dyDescent="0.35">
      <c r="A269" s="49"/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50"/>
      <c r="Y269" s="49"/>
      <c r="Z269" s="50"/>
    </row>
    <row r="270" spans="1:26" x14ac:dyDescent="0.35">
      <c r="A270" s="49"/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50"/>
      <c r="Y270" s="49"/>
      <c r="Z270" s="50"/>
    </row>
    <row r="271" spans="1:26" x14ac:dyDescent="0.35">
      <c r="A271" s="49"/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50"/>
      <c r="Y271" s="49"/>
      <c r="Z271" s="50"/>
    </row>
    <row r="272" spans="1:26" x14ac:dyDescent="0.35">
      <c r="A272" s="49"/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50"/>
      <c r="Y272" s="49"/>
      <c r="Z272" s="50"/>
    </row>
    <row r="273" spans="1:26" x14ac:dyDescent="0.35">
      <c r="A273" s="49"/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50"/>
      <c r="Y273" s="49"/>
      <c r="Z273" s="50"/>
    </row>
    <row r="274" spans="1:26" x14ac:dyDescent="0.35">
      <c r="A274" s="49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50"/>
      <c r="Y274" s="49"/>
      <c r="Z274" s="50"/>
    </row>
    <row r="275" spans="1:26" x14ac:dyDescent="0.35">
      <c r="A275" s="49"/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50"/>
      <c r="Y275" s="49"/>
      <c r="Z275" s="50"/>
    </row>
    <row r="276" spans="1:26" x14ac:dyDescent="0.35">
      <c r="A276" s="49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50"/>
      <c r="Y276" s="49"/>
      <c r="Z276" s="50"/>
    </row>
    <row r="277" spans="1:26" x14ac:dyDescent="0.35">
      <c r="A277" s="49"/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50"/>
      <c r="Y277" s="49"/>
      <c r="Z277" s="50"/>
    </row>
    <row r="278" spans="1:26" x14ac:dyDescent="0.35">
      <c r="A278" s="49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50"/>
      <c r="Y278" s="49"/>
      <c r="Z278" s="50"/>
    </row>
    <row r="279" spans="1:26" x14ac:dyDescent="0.35">
      <c r="A279" s="49"/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50"/>
      <c r="Y279" s="49"/>
      <c r="Z279" s="50"/>
    </row>
    <row r="280" spans="1:26" x14ac:dyDescent="0.35">
      <c r="A280" s="49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50"/>
      <c r="Y280" s="49"/>
      <c r="Z280" s="50"/>
    </row>
    <row r="281" spans="1:26" x14ac:dyDescent="0.35">
      <c r="A281" s="49"/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50"/>
      <c r="Y281" s="49"/>
      <c r="Z281" s="50"/>
    </row>
    <row r="282" spans="1:26" x14ac:dyDescent="0.35">
      <c r="A282" s="49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50"/>
      <c r="Y282" s="49"/>
      <c r="Z282" s="50"/>
    </row>
    <row r="283" spans="1:26" x14ac:dyDescent="0.35">
      <c r="A283" s="49"/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50"/>
      <c r="Y283" s="49"/>
      <c r="Z283" s="50"/>
    </row>
    <row r="284" spans="1:26" x14ac:dyDescent="0.35">
      <c r="A284" s="49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50"/>
      <c r="Y284" s="49"/>
      <c r="Z284" s="50"/>
    </row>
    <row r="285" spans="1:26" x14ac:dyDescent="0.35">
      <c r="A285" s="49"/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50"/>
      <c r="Y285" s="49"/>
      <c r="Z285" s="50"/>
    </row>
    <row r="286" spans="1:26" x14ac:dyDescent="0.35">
      <c r="A286" s="49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50"/>
      <c r="Y286" s="49"/>
      <c r="Z286" s="50"/>
    </row>
    <row r="287" spans="1:26" x14ac:dyDescent="0.35">
      <c r="A287" s="49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50"/>
      <c r="Y287" s="49"/>
      <c r="Z287" s="50"/>
    </row>
    <row r="288" spans="1:26" x14ac:dyDescent="0.35">
      <c r="A288" s="49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50"/>
      <c r="Y288" s="49"/>
      <c r="Z288" s="50"/>
    </row>
    <row r="289" spans="1:26" x14ac:dyDescent="0.35">
      <c r="A289" s="49"/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50"/>
      <c r="Y289" s="49"/>
      <c r="Z289" s="50"/>
    </row>
    <row r="290" spans="1:26" x14ac:dyDescent="0.35">
      <c r="A290" s="49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50"/>
      <c r="Y290" s="49"/>
      <c r="Z290" s="50"/>
    </row>
    <row r="291" spans="1:26" x14ac:dyDescent="0.35">
      <c r="A291" s="49"/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50"/>
      <c r="Y291" s="49"/>
      <c r="Z291" s="50"/>
    </row>
    <row r="292" spans="1:26" x14ac:dyDescent="0.35">
      <c r="A292" s="49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50"/>
      <c r="Y292" s="49"/>
      <c r="Z292" s="50"/>
    </row>
    <row r="293" spans="1:26" x14ac:dyDescent="0.35">
      <c r="A293" s="49"/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50"/>
      <c r="Y293" s="49"/>
      <c r="Z293" s="50"/>
    </row>
    <row r="294" spans="1:26" x14ac:dyDescent="0.35">
      <c r="A294" s="49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50"/>
      <c r="Y294" s="49"/>
      <c r="Z294" s="50"/>
    </row>
    <row r="295" spans="1:26" x14ac:dyDescent="0.35">
      <c r="A295" s="49"/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50"/>
      <c r="Y295" s="49"/>
      <c r="Z295" s="50"/>
    </row>
    <row r="296" spans="1:26" x14ac:dyDescent="0.35">
      <c r="A296" s="49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50"/>
      <c r="Y296" s="49"/>
      <c r="Z296" s="50"/>
    </row>
    <row r="297" spans="1:26" x14ac:dyDescent="0.35">
      <c r="A297" s="49"/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50"/>
      <c r="Y297" s="49"/>
      <c r="Z297" s="50"/>
    </row>
    <row r="298" spans="1:26" x14ac:dyDescent="0.35">
      <c r="A298" s="49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50"/>
      <c r="Y298" s="49"/>
      <c r="Z298" s="50"/>
    </row>
    <row r="299" spans="1:26" x14ac:dyDescent="0.35">
      <c r="A299" s="49"/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50"/>
      <c r="Y299" s="49"/>
      <c r="Z299" s="50"/>
    </row>
    <row r="300" spans="1:26" x14ac:dyDescent="0.35">
      <c r="A300" s="49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50"/>
      <c r="Y300" s="49"/>
      <c r="Z300" s="50"/>
    </row>
    <row r="301" spans="1:26" x14ac:dyDescent="0.35">
      <c r="A301" s="49"/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50"/>
      <c r="Y301" s="49"/>
      <c r="Z301" s="50"/>
    </row>
    <row r="302" spans="1:26" x14ac:dyDescent="0.35">
      <c r="A302" s="49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50"/>
      <c r="Y302" s="49"/>
      <c r="Z302" s="50"/>
    </row>
    <row r="303" spans="1:26" x14ac:dyDescent="0.35">
      <c r="A303" s="49"/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50"/>
      <c r="Y303" s="49"/>
      <c r="Z303" s="50"/>
    </row>
    <row r="304" spans="1:26" x14ac:dyDescent="0.35">
      <c r="A304" s="49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50"/>
      <c r="Y304" s="49"/>
      <c r="Z304" s="50"/>
    </row>
    <row r="305" spans="1:26" x14ac:dyDescent="0.35">
      <c r="A305" s="49"/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50"/>
      <c r="Y305" s="49"/>
      <c r="Z305" s="50"/>
    </row>
    <row r="306" spans="1:26" x14ac:dyDescent="0.35">
      <c r="A306" s="49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50"/>
      <c r="Y306" s="49"/>
      <c r="Z306" s="50"/>
    </row>
    <row r="307" spans="1:26" x14ac:dyDescent="0.35">
      <c r="A307" s="49"/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50"/>
      <c r="Y307" s="49"/>
      <c r="Z307" s="50"/>
    </row>
    <row r="308" spans="1:26" x14ac:dyDescent="0.35">
      <c r="A308" s="49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50"/>
      <c r="Y308" s="49"/>
      <c r="Z308" s="50"/>
    </row>
    <row r="309" spans="1:26" x14ac:dyDescent="0.35">
      <c r="A309" s="49"/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50"/>
      <c r="Y309" s="49"/>
      <c r="Z309" s="50"/>
    </row>
    <row r="310" spans="1:26" x14ac:dyDescent="0.35">
      <c r="A310" s="49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50"/>
      <c r="Y310" s="49"/>
      <c r="Z310" s="50"/>
    </row>
    <row r="311" spans="1:26" x14ac:dyDescent="0.35">
      <c r="A311" s="49"/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50"/>
      <c r="Y311" s="49"/>
      <c r="Z311" s="50"/>
    </row>
    <row r="312" spans="1:26" x14ac:dyDescent="0.35">
      <c r="A312" s="49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50"/>
      <c r="Y312" s="49"/>
      <c r="Z312" s="50"/>
    </row>
    <row r="313" spans="1:26" x14ac:dyDescent="0.35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50"/>
      <c r="Y313" s="49"/>
      <c r="Z313" s="50"/>
    </row>
    <row r="314" spans="1:26" x14ac:dyDescent="0.35">
      <c r="A314" s="49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50"/>
      <c r="Y314" s="49"/>
      <c r="Z314" s="50"/>
    </row>
    <row r="315" spans="1:26" x14ac:dyDescent="0.35">
      <c r="A315" s="49"/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50"/>
      <c r="Y315" s="49"/>
      <c r="Z315" s="50"/>
    </row>
    <row r="316" spans="1:26" x14ac:dyDescent="0.35">
      <c r="A316" s="49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50"/>
      <c r="Y316" s="49"/>
      <c r="Z316" s="50"/>
    </row>
    <row r="317" spans="1:26" x14ac:dyDescent="0.35">
      <c r="A317" s="49"/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50"/>
      <c r="Y317" s="49"/>
      <c r="Z317" s="50"/>
    </row>
    <row r="318" spans="1:26" x14ac:dyDescent="0.35">
      <c r="A318" s="49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50"/>
      <c r="Y318" s="49"/>
      <c r="Z318" s="50"/>
    </row>
    <row r="319" spans="1:26" x14ac:dyDescent="0.35">
      <c r="A319" s="49"/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50"/>
      <c r="Y319" s="49"/>
      <c r="Z319" s="50"/>
    </row>
    <row r="320" spans="1:26" x14ac:dyDescent="0.35">
      <c r="A320" s="49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50"/>
      <c r="Y320" s="49"/>
      <c r="Z320" s="50"/>
    </row>
    <row r="321" spans="1:26" x14ac:dyDescent="0.35">
      <c r="A321" s="49"/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50"/>
      <c r="Y321" s="49"/>
      <c r="Z321" s="50"/>
    </row>
    <row r="322" spans="1:26" x14ac:dyDescent="0.35">
      <c r="A322" s="49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50"/>
      <c r="Y322" s="49"/>
      <c r="Z322" s="50"/>
    </row>
    <row r="323" spans="1:26" x14ac:dyDescent="0.35">
      <c r="A323" s="49"/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50"/>
      <c r="Y323" s="49"/>
      <c r="Z323" s="50"/>
    </row>
    <row r="324" spans="1:26" x14ac:dyDescent="0.35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50"/>
      <c r="Y324" s="49"/>
      <c r="Z324" s="50"/>
    </row>
    <row r="325" spans="1:26" x14ac:dyDescent="0.35">
      <c r="A325" s="49"/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50"/>
      <c r="Y325" s="49"/>
      <c r="Z325" s="50"/>
    </row>
    <row r="326" spans="1:26" x14ac:dyDescent="0.35">
      <c r="A326" s="49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50"/>
      <c r="Y326" s="49"/>
      <c r="Z326" s="50"/>
    </row>
    <row r="327" spans="1:26" x14ac:dyDescent="0.35">
      <c r="A327" s="49"/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50"/>
      <c r="Y327" s="49"/>
      <c r="Z327" s="50"/>
    </row>
    <row r="328" spans="1:26" x14ac:dyDescent="0.35">
      <c r="A328" s="49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50"/>
      <c r="Y328" s="49"/>
      <c r="Z328" s="50"/>
    </row>
    <row r="329" spans="1:26" x14ac:dyDescent="0.35">
      <c r="A329" s="49"/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50"/>
      <c r="Y329" s="49"/>
      <c r="Z329" s="50"/>
    </row>
    <row r="330" spans="1:26" x14ac:dyDescent="0.35">
      <c r="A330" s="49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50"/>
      <c r="Y330" s="49"/>
      <c r="Z330" s="50"/>
    </row>
    <row r="331" spans="1:26" x14ac:dyDescent="0.35">
      <c r="A331" s="49"/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50"/>
      <c r="Y331" s="49"/>
      <c r="Z331" s="50"/>
    </row>
    <row r="332" spans="1:26" x14ac:dyDescent="0.35">
      <c r="A332" s="49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50"/>
      <c r="Y332" s="49"/>
      <c r="Z332" s="50"/>
    </row>
    <row r="333" spans="1:26" x14ac:dyDescent="0.35">
      <c r="A333" s="49"/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50"/>
      <c r="Y333" s="49"/>
      <c r="Z333" s="50"/>
    </row>
    <row r="334" spans="1:26" x14ac:dyDescent="0.35">
      <c r="A334" s="49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50"/>
      <c r="Y334" s="49"/>
      <c r="Z334" s="50"/>
    </row>
    <row r="335" spans="1:26" x14ac:dyDescent="0.35">
      <c r="A335" s="49"/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50"/>
      <c r="Y335" s="49"/>
      <c r="Z335" s="50"/>
    </row>
    <row r="336" spans="1:26" x14ac:dyDescent="0.35">
      <c r="A336" s="49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50"/>
      <c r="Y336" s="49"/>
      <c r="Z336" s="50"/>
    </row>
    <row r="337" spans="1:26" x14ac:dyDescent="0.35">
      <c r="A337" s="49"/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50"/>
      <c r="Y337" s="49"/>
      <c r="Z337" s="50"/>
    </row>
    <row r="338" spans="1:26" x14ac:dyDescent="0.35">
      <c r="A338" s="49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50"/>
      <c r="Y338" s="49"/>
      <c r="Z338" s="50"/>
    </row>
    <row r="339" spans="1:26" x14ac:dyDescent="0.35">
      <c r="A339" s="49"/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50"/>
      <c r="Y339" s="49"/>
      <c r="Z339" s="50"/>
    </row>
    <row r="340" spans="1:26" x14ac:dyDescent="0.35">
      <c r="A340" s="49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50"/>
      <c r="Y340" s="49"/>
      <c r="Z340" s="50"/>
    </row>
    <row r="341" spans="1:26" x14ac:dyDescent="0.35">
      <c r="A341" s="49"/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50"/>
      <c r="Y341" s="49"/>
      <c r="Z341" s="50"/>
    </row>
    <row r="342" spans="1:26" x14ac:dyDescent="0.35">
      <c r="A342" s="49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50"/>
      <c r="Y342" s="49"/>
      <c r="Z342" s="50"/>
    </row>
    <row r="343" spans="1:26" x14ac:dyDescent="0.35">
      <c r="A343" s="49"/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50"/>
      <c r="Y343" s="49"/>
      <c r="Z343" s="50"/>
    </row>
    <row r="344" spans="1:26" x14ac:dyDescent="0.35">
      <c r="A344" s="49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50"/>
      <c r="Y344" s="49"/>
      <c r="Z344" s="50"/>
    </row>
    <row r="345" spans="1:26" x14ac:dyDescent="0.35">
      <c r="A345" s="49"/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50"/>
      <c r="Y345" s="49"/>
      <c r="Z345" s="50"/>
    </row>
    <row r="346" spans="1:26" x14ac:dyDescent="0.35">
      <c r="A346" s="49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50"/>
      <c r="Y346" s="49"/>
      <c r="Z346" s="50"/>
    </row>
    <row r="347" spans="1:26" x14ac:dyDescent="0.35">
      <c r="A347" s="49"/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50"/>
      <c r="Y347" s="49"/>
      <c r="Z347" s="50"/>
    </row>
    <row r="348" spans="1:26" x14ac:dyDescent="0.35">
      <c r="A348" s="49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50"/>
      <c r="Y348" s="49"/>
      <c r="Z348" s="50"/>
    </row>
    <row r="349" spans="1:26" x14ac:dyDescent="0.35">
      <c r="A349" s="49"/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50"/>
      <c r="Y349" s="49"/>
      <c r="Z349" s="50"/>
    </row>
    <row r="350" spans="1:26" x14ac:dyDescent="0.35">
      <c r="A350" s="49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50"/>
      <c r="Y350" s="49"/>
      <c r="Z350" s="50"/>
    </row>
    <row r="351" spans="1:26" x14ac:dyDescent="0.35">
      <c r="A351" s="49"/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50"/>
      <c r="Y351" s="49"/>
      <c r="Z351" s="50"/>
    </row>
    <row r="352" spans="1:26" x14ac:dyDescent="0.35">
      <c r="A352" s="49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50"/>
      <c r="Y352" s="49"/>
      <c r="Z352" s="50"/>
    </row>
    <row r="353" spans="1:26" x14ac:dyDescent="0.35">
      <c r="A353" s="49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50"/>
      <c r="Y353" s="49"/>
      <c r="Z353" s="50"/>
    </row>
    <row r="354" spans="1:26" x14ac:dyDescent="0.35">
      <c r="A354" s="49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50"/>
      <c r="Y354" s="49"/>
      <c r="Z354" s="50"/>
    </row>
    <row r="355" spans="1:26" x14ac:dyDescent="0.35">
      <c r="A355" s="49"/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50"/>
      <c r="Y355" s="49"/>
      <c r="Z355" s="50"/>
    </row>
    <row r="356" spans="1:26" x14ac:dyDescent="0.35">
      <c r="A356" s="49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50"/>
      <c r="Y356" s="49"/>
      <c r="Z356" s="50"/>
    </row>
    <row r="357" spans="1:26" x14ac:dyDescent="0.35">
      <c r="A357" s="49"/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50"/>
      <c r="Y357" s="49"/>
      <c r="Z357" s="50"/>
    </row>
    <row r="358" spans="1:26" x14ac:dyDescent="0.35">
      <c r="A358" s="49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50"/>
      <c r="Y358" s="49"/>
      <c r="Z358" s="50"/>
    </row>
    <row r="359" spans="1:26" x14ac:dyDescent="0.35">
      <c r="A359" s="49"/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50"/>
      <c r="Y359" s="49"/>
      <c r="Z359" s="50"/>
    </row>
    <row r="360" spans="1:26" x14ac:dyDescent="0.35">
      <c r="A360" s="49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50"/>
      <c r="Y360" s="49"/>
      <c r="Z360" s="50"/>
    </row>
    <row r="361" spans="1:26" x14ac:dyDescent="0.35">
      <c r="A361" s="49"/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50"/>
      <c r="Y361" s="49"/>
      <c r="Z361" s="50"/>
    </row>
    <row r="362" spans="1:26" x14ac:dyDescent="0.35">
      <c r="A362" s="49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50"/>
      <c r="Y362" s="49"/>
      <c r="Z362" s="50"/>
    </row>
    <row r="363" spans="1:26" x14ac:dyDescent="0.35">
      <c r="A363" s="49"/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50"/>
      <c r="Y363" s="49"/>
      <c r="Z363" s="50"/>
    </row>
    <row r="364" spans="1:26" x14ac:dyDescent="0.35">
      <c r="A364" s="49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50"/>
      <c r="Y364" s="49"/>
      <c r="Z364" s="50"/>
    </row>
    <row r="365" spans="1:26" x14ac:dyDescent="0.35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50"/>
      <c r="Y365" s="49"/>
      <c r="Z365" s="50"/>
    </row>
    <row r="366" spans="1:26" x14ac:dyDescent="0.35">
      <c r="A366" s="49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50"/>
      <c r="Y366" s="49"/>
      <c r="Z366" s="50"/>
    </row>
    <row r="367" spans="1:26" x14ac:dyDescent="0.35">
      <c r="A367" s="49"/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50"/>
      <c r="Y367" s="49"/>
      <c r="Z367" s="50"/>
    </row>
    <row r="368" spans="1:26" x14ac:dyDescent="0.35">
      <c r="A368" s="49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50"/>
      <c r="Y368" s="49"/>
      <c r="Z368" s="50"/>
    </row>
    <row r="369" spans="1:26" x14ac:dyDescent="0.35">
      <c r="A369" s="49"/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50"/>
      <c r="Y369" s="49"/>
      <c r="Z369" s="50"/>
    </row>
    <row r="370" spans="1:26" x14ac:dyDescent="0.35">
      <c r="A370" s="49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50"/>
      <c r="Y370" s="49"/>
      <c r="Z370" s="50"/>
    </row>
    <row r="371" spans="1:26" x14ac:dyDescent="0.35">
      <c r="A371" s="49"/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50"/>
      <c r="Y371" s="49"/>
      <c r="Z371" s="50"/>
    </row>
    <row r="372" spans="1:26" x14ac:dyDescent="0.35">
      <c r="A372" s="49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50"/>
      <c r="Y372" s="49"/>
      <c r="Z372" s="50"/>
    </row>
    <row r="373" spans="1:26" x14ac:dyDescent="0.35">
      <c r="A373" s="49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50"/>
      <c r="Y373" s="49"/>
      <c r="Z373" s="50"/>
    </row>
    <row r="374" spans="1:26" x14ac:dyDescent="0.35">
      <c r="A374" s="49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50"/>
      <c r="Y374" s="49"/>
      <c r="Z374" s="50"/>
    </row>
    <row r="375" spans="1:26" x14ac:dyDescent="0.35">
      <c r="A375" s="49"/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50"/>
      <c r="Y375" s="49"/>
      <c r="Z375" s="50"/>
    </row>
    <row r="376" spans="1:26" x14ac:dyDescent="0.35">
      <c r="A376" s="49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50"/>
      <c r="Y376" s="49"/>
      <c r="Z376" s="50"/>
    </row>
    <row r="377" spans="1:26" x14ac:dyDescent="0.35">
      <c r="A377" s="49"/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50"/>
      <c r="Y377" s="49"/>
      <c r="Z377" s="50"/>
    </row>
    <row r="378" spans="1:26" x14ac:dyDescent="0.35">
      <c r="A378" s="49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50"/>
      <c r="Y378" s="49"/>
      <c r="Z378" s="50"/>
    </row>
    <row r="379" spans="1:26" x14ac:dyDescent="0.35">
      <c r="A379" s="49"/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50"/>
      <c r="Y379" s="49"/>
      <c r="Z379" s="50"/>
    </row>
    <row r="380" spans="1:26" x14ac:dyDescent="0.35">
      <c r="A380" s="49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50"/>
      <c r="Y380" s="49"/>
      <c r="Z380" s="50"/>
    </row>
    <row r="381" spans="1:26" x14ac:dyDescent="0.35">
      <c r="A381" s="49"/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50"/>
      <c r="Y381" s="49"/>
      <c r="Z381" s="50"/>
    </row>
    <row r="382" spans="1:26" x14ac:dyDescent="0.35">
      <c r="A382" s="49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50"/>
      <c r="Y382" s="49"/>
      <c r="Z382" s="50"/>
    </row>
    <row r="383" spans="1:26" x14ac:dyDescent="0.35">
      <c r="A383" s="49"/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50"/>
      <c r="Y383" s="49"/>
      <c r="Z383" s="50"/>
    </row>
    <row r="384" spans="1:26" x14ac:dyDescent="0.35">
      <c r="A384" s="49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50"/>
      <c r="Y384" s="49"/>
      <c r="Z384" s="50"/>
    </row>
    <row r="385" spans="1:26" x14ac:dyDescent="0.35">
      <c r="A385" s="49"/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50"/>
      <c r="Y385" s="49"/>
      <c r="Z385" s="50"/>
    </row>
    <row r="386" spans="1:26" x14ac:dyDescent="0.35">
      <c r="A386" s="49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50"/>
      <c r="Y386" s="49"/>
      <c r="Z386" s="50"/>
    </row>
    <row r="387" spans="1:26" x14ac:dyDescent="0.35">
      <c r="A387" s="49"/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50"/>
      <c r="Y387" s="49"/>
      <c r="Z387" s="50"/>
    </row>
    <row r="388" spans="1:26" x14ac:dyDescent="0.35">
      <c r="A388" s="49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50"/>
      <c r="Y388" s="49"/>
      <c r="Z388" s="50"/>
    </row>
    <row r="389" spans="1:26" x14ac:dyDescent="0.35">
      <c r="A389" s="49"/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50"/>
      <c r="Y389" s="49"/>
      <c r="Z389" s="50"/>
    </row>
    <row r="390" spans="1:26" x14ac:dyDescent="0.35">
      <c r="A390" s="49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50"/>
      <c r="Y390" s="49"/>
      <c r="Z390" s="50"/>
    </row>
    <row r="391" spans="1:26" x14ac:dyDescent="0.35">
      <c r="A391" s="49"/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50"/>
      <c r="Y391" s="49"/>
      <c r="Z391" s="50"/>
    </row>
    <row r="392" spans="1:26" x14ac:dyDescent="0.35">
      <c r="A392" s="49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50"/>
      <c r="Y392" s="49"/>
      <c r="Z392" s="50"/>
    </row>
    <row r="393" spans="1:26" x14ac:dyDescent="0.35">
      <c r="A393" s="49"/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50"/>
      <c r="Y393" s="49"/>
      <c r="Z393" s="50"/>
    </row>
    <row r="394" spans="1:26" x14ac:dyDescent="0.35">
      <c r="A394" s="49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50"/>
      <c r="Y394" s="49"/>
      <c r="Z394" s="50"/>
    </row>
    <row r="395" spans="1:26" x14ac:dyDescent="0.35">
      <c r="A395" s="49"/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50"/>
      <c r="Y395" s="49"/>
      <c r="Z395" s="50"/>
    </row>
    <row r="396" spans="1:26" x14ac:dyDescent="0.35">
      <c r="A396" s="49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50"/>
      <c r="Y396" s="49"/>
      <c r="Z396" s="50"/>
    </row>
    <row r="397" spans="1:26" x14ac:dyDescent="0.35">
      <c r="A397" s="49"/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50"/>
      <c r="Y397" s="49"/>
      <c r="Z397" s="50"/>
    </row>
    <row r="398" spans="1:26" x14ac:dyDescent="0.35">
      <c r="A398" s="49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50"/>
      <c r="Y398" s="49"/>
      <c r="Z398" s="50"/>
    </row>
    <row r="399" spans="1:26" x14ac:dyDescent="0.35">
      <c r="A399" s="49"/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50"/>
      <c r="Y399" s="49"/>
      <c r="Z399" s="50"/>
    </row>
    <row r="400" spans="1:26" x14ac:dyDescent="0.35">
      <c r="A400" s="49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50"/>
      <c r="Y400" s="49"/>
      <c r="Z400" s="50"/>
    </row>
    <row r="401" spans="1:26" x14ac:dyDescent="0.35">
      <c r="A401" s="49"/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50"/>
      <c r="Y401" s="49"/>
      <c r="Z401" s="50"/>
    </row>
    <row r="402" spans="1:26" x14ac:dyDescent="0.35">
      <c r="A402" s="49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50"/>
      <c r="Y402" s="49"/>
      <c r="Z402" s="50"/>
    </row>
    <row r="403" spans="1:26" x14ac:dyDescent="0.35">
      <c r="A403" s="49"/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50"/>
      <c r="Y403" s="49"/>
      <c r="Z403" s="50"/>
    </row>
    <row r="404" spans="1:26" x14ac:dyDescent="0.35">
      <c r="A404" s="49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50"/>
      <c r="Y404" s="49"/>
      <c r="Z404" s="50"/>
    </row>
    <row r="405" spans="1:26" x14ac:dyDescent="0.35">
      <c r="A405" s="49"/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50"/>
      <c r="Y405" s="49"/>
      <c r="Z405" s="50"/>
    </row>
    <row r="406" spans="1:26" x14ac:dyDescent="0.35">
      <c r="A406" s="49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50"/>
      <c r="Y406" s="49"/>
      <c r="Z406" s="50"/>
    </row>
    <row r="407" spans="1:26" x14ac:dyDescent="0.35">
      <c r="A407" s="49"/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50"/>
      <c r="Y407" s="49"/>
      <c r="Z407" s="50"/>
    </row>
    <row r="408" spans="1:26" x14ac:dyDescent="0.35">
      <c r="A408" s="49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50"/>
      <c r="Y408" s="49"/>
      <c r="Z408" s="50"/>
    </row>
    <row r="409" spans="1:26" x14ac:dyDescent="0.35">
      <c r="A409" s="49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50"/>
      <c r="Y409" s="49"/>
      <c r="Z409" s="50"/>
    </row>
    <row r="410" spans="1:26" x14ac:dyDescent="0.35">
      <c r="A410" s="49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50"/>
      <c r="Y410" s="49"/>
      <c r="Z410" s="50"/>
    </row>
    <row r="411" spans="1:26" x14ac:dyDescent="0.35">
      <c r="A411" s="49"/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50"/>
      <c r="Y411" s="49"/>
      <c r="Z411" s="50"/>
    </row>
    <row r="412" spans="1:26" x14ac:dyDescent="0.35">
      <c r="A412" s="49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50"/>
      <c r="Y412" s="49"/>
      <c r="Z412" s="50"/>
    </row>
    <row r="413" spans="1:26" x14ac:dyDescent="0.35">
      <c r="A413" s="49"/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50"/>
      <c r="Y413" s="49"/>
      <c r="Z413" s="50"/>
    </row>
    <row r="414" spans="1:26" x14ac:dyDescent="0.35">
      <c r="A414" s="52"/>
      <c r="B414" s="49"/>
      <c r="C414" s="49"/>
      <c r="D414" s="49"/>
      <c r="E414" s="52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50"/>
      <c r="Y414" s="49"/>
      <c r="Z414" s="50"/>
    </row>
    <row r="415" spans="1:26" x14ac:dyDescent="0.35">
      <c r="A415" s="49"/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50"/>
      <c r="Y415" s="49"/>
      <c r="Z415" s="50"/>
    </row>
    <row r="416" spans="1:26" x14ac:dyDescent="0.35">
      <c r="A416" s="49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50"/>
      <c r="Y416" s="49"/>
      <c r="Z416" s="50"/>
    </row>
    <row r="417" spans="1:26" x14ac:dyDescent="0.35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50"/>
      <c r="Y417" s="49"/>
      <c r="Z417" s="50"/>
    </row>
    <row r="418" spans="1:26" x14ac:dyDescent="0.35">
      <c r="A418" s="49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50"/>
      <c r="Y418" s="49"/>
      <c r="Z418" s="50"/>
    </row>
    <row r="419" spans="1:26" x14ac:dyDescent="0.35">
      <c r="A419" s="49"/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50"/>
      <c r="Y419" s="49"/>
      <c r="Z419" s="50"/>
    </row>
    <row r="420" spans="1:26" x14ac:dyDescent="0.35">
      <c r="A420" s="49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50"/>
      <c r="Y420" s="49"/>
      <c r="Z420" s="50"/>
    </row>
    <row r="421" spans="1:26" x14ac:dyDescent="0.35">
      <c r="A421" s="49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50"/>
      <c r="Y421" s="49"/>
      <c r="Z421" s="50"/>
    </row>
    <row r="422" spans="1:26" x14ac:dyDescent="0.35">
      <c r="A422" s="49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50"/>
      <c r="Y422" s="49"/>
      <c r="Z422" s="50"/>
    </row>
    <row r="423" spans="1:26" x14ac:dyDescent="0.35">
      <c r="A423" s="49"/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50"/>
      <c r="Y423" s="49"/>
      <c r="Z423" s="50"/>
    </row>
    <row r="424" spans="1:26" x14ac:dyDescent="0.35">
      <c r="A424" s="49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50"/>
      <c r="Y424" s="49"/>
      <c r="Z424" s="50"/>
    </row>
    <row r="425" spans="1:26" x14ac:dyDescent="0.35">
      <c r="A425" s="49"/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50"/>
      <c r="Y425" s="49"/>
      <c r="Z425" s="50"/>
    </row>
    <row r="426" spans="1:26" x14ac:dyDescent="0.35">
      <c r="A426" s="49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50"/>
      <c r="Y426" s="49"/>
      <c r="Z426" s="50"/>
    </row>
    <row r="427" spans="1:26" x14ac:dyDescent="0.35">
      <c r="A427" s="49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50"/>
      <c r="Y427" s="49"/>
      <c r="Z427" s="50"/>
    </row>
    <row r="428" spans="1:26" x14ac:dyDescent="0.35">
      <c r="A428" s="49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50"/>
      <c r="Y428" s="49"/>
      <c r="Z428" s="50"/>
    </row>
    <row r="429" spans="1:26" x14ac:dyDescent="0.35">
      <c r="A429" s="49"/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50"/>
      <c r="Y429" s="49"/>
      <c r="Z429" s="50"/>
    </row>
    <row r="430" spans="1:26" x14ac:dyDescent="0.35">
      <c r="A430" s="49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50"/>
      <c r="Y430" s="49"/>
      <c r="Z430" s="50"/>
    </row>
    <row r="431" spans="1:26" x14ac:dyDescent="0.35">
      <c r="A431" s="49"/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50"/>
      <c r="Y431" s="49"/>
      <c r="Z431" s="50"/>
    </row>
    <row r="432" spans="1:26" x14ac:dyDescent="0.35">
      <c r="A432" s="49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50"/>
      <c r="Y432" s="49"/>
      <c r="Z432" s="50"/>
    </row>
    <row r="433" spans="1:26" x14ac:dyDescent="0.35">
      <c r="A433" s="49"/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50"/>
      <c r="Y433" s="49"/>
      <c r="Z433" s="50"/>
    </row>
    <row r="434" spans="1:26" x14ac:dyDescent="0.35">
      <c r="A434" s="49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50"/>
      <c r="Y434" s="49"/>
      <c r="Z434" s="50"/>
    </row>
    <row r="435" spans="1:26" x14ac:dyDescent="0.35">
      <c r="A435" s="49"/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50"/>
      <c r="Y435" s="49"/>
      <c r="Z435" s="50"/>
    </row>
    <row r="436" spans="1:26" x14ac:dyDescent="0.35">
      <c r="A436" s="49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50"/>
      <c r="Y436" s="49"/>
      <c r="Z436" s="50"/>
    </row>
    <row r="437" spans="1:26" x14ac:dyDescent="0.35">
      <c r="A437" s="49"/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50"/>
      <c r="Y437" s="49"/>
      <c r="Z437" s="50"/>
    </row>
    <row r="438" spans="1:26" x14ac:dyDescent="0.35">
      <c r="A438" s="49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50"/>
      <c r="Y438" s="49"/>
      <c r="Z438" s="50"/>
    </row>
    <row r="439" spans="1:26" x14ac:dyDescent="0.35">
      <c r="A439" s="49"/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50"/>
      <c r="Y439" s="49"/>
      <c r="Z439" s="50"/>
    </row>
    <row r="440" spans="1:26" x14ac:dyDescent="0.35">
      <c r="A440" s="49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50"/>
      <c r="Y440" s="49"/>
      <c r="Z440" s="50"/>
    </row>
    <row r="441" spans="1:26" x14ac:dyDescent="0.35">
      <c r="A441" s="49"/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50"/>
      <c r="Y441" s="49"/>
      <c r="Z441" s="50"/>
    </row>
    <row r="442" spans="1:26" x14ac:dyDescent="0.35">
      <c r="A442" s="49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50"/>
      <c r="Y442" s="49"/>
      <c r="Z442" s="50"/>
    </row>
    <row r="443" spans="1:26" x14ac:dyDescent="0.35">
      <c r="A443" s="49"/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50"/>
      <c r="Y443" s="49"/>
      <c r="Z443" s="50"/>
    </row>
    <row r="444" spans="1:26" x14ac:dyDescent="0.35">
      <c r="A444" s="49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50"/>
      <c r="Y444" s="49"/>
      <c r="Z444" s="50"/>
    </row>
    <row r="445" spans="1:26" x14ac:dyDescent="0.35">
      <c r="A445" s="49"/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50"/>
      <c r="Y445" s="49"/>
      <c r="Z445" s="50"/>
    </row>
    <row r="446" spans="1:26" x14ac:dyDescent="0.35">
      <c r="A446" s="49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50"/>
      <c r="Y446" s="49"/>
      <c r="Z446" s="50"/>
    </row>
    <row r="447" spans="1:26" x14ac:dyDescent="0.35">
      <c r="A447" s="49"/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50"/>
      <c r="Y447" s="49"/>
      <c r="Z447" s="50"/>
    </row>
    <row r="448" spans="1:26" x14ac:dyDescent="0.35">
      <c r="A448" s="49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50"/>
      <c r="Y448" s="49"/>
      <c r="Z448" s="50"/>
    </row>
    <row r="449" spans="1:26" x14ac:dyDescent="0.35">
      <c r="A449" s="49"/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50"/>
      <c r="Y449" s="49"/>
      <c r="Z449" s="50"/>
    </row>
    <row r="450" spans="1:26" x14ac:dyDescent="0.35">
      <c r="A450" s="49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50"/>
      <c r="Y450" s="49"/>
      <c r="Z450" s="50"/>
    </row>
    <row r="451" spans="1:26" x14ac:dyDescent="0.35">
      <c r="A451" s="49"/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50"/>
      <c r="Y451" s="49"/>
      <c r="Z451" s="50"/>
    </row>
    <row r="452" spans="1:26" x14ac:dyDescent="0.35">
      <c r="A452" s="49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50"/>
      <c r="Y452" s="49"/>
      <c r="Z452" s="50"/>
    </row>
    <row r="453" spans="1:26" x14ac:dyDescent="0.35">
      <c r="A453" s="49"/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50"/>
      <c r="Y453" s="49"/>
      <c r="Z453" s="50"/>
    </row>
    <row r="454" spans="1:26" x14ac:dyDescent="0.35">
      <c r="A454" s="49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50"/>
      <c r="Y454" s="49"/>
      <c r="Z454" s="50"/>
    </row>
    <row r="455" spans="1:26" x14ac:dyDescent="0.35">
      <c r="A455" s="49"/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50"/>
      <c r="Y455" s="49"/>
      <c r="Z455" s="50"/>
    </row>
    <row r="456" spans="1:26" x14ac:dyDescent="0.35">
      <c r="A456" s="49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50"/>
      <c r="Y456" s="49"/>
      <c r="Z456" s="50"/>
    </row>
    <row r="457" spans="1:26" x14ac:dyDescent="0.35">
      <c r="A457" s="49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50"/>
      <c r="Y457" s="49"/>
      <c r="Z457" s="50"/>
    </row>
    <row r="458" spans="1:26" x14ac:dyDescent="0.35">
      <c r="A458" s="49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50"/>
      <c r="Y458" s="49"/>
      <c r="Z458" s="50"/>
    </row>
    <row r="459" spans="1:26" x14ac:dyDescent="0.35">
      <c r="A459" s="49"/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50"/>
      <c r="Y459" s="49"/>
      <c r="Z459" s="50"/>
    </row>
    <row r="460" spans="1:26" x14ac:dyDescent="0.35">
      <c r="A460" s="49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50"/>
      <c r="Y460" s="49"/>
      <c r="Z460" s="50"/>
    </row>
    <row r="461" spans="1:26" x14ac:dyDescent="0.35">
      <c r="A461" s="49"/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50"/>
      <c r="Y461" s="49"/>
      <c r="Z461" s="50"/>
    </row>
    <row r="462" spans="1:26" x14ac:dyDescent="0.35">
      <c r="A462" s="49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50"/>
      <c r="Y462" s="49"/>
      <c r="Z462" s="50"/>
    </row>
    <row r="463" spans="1:26" x14ac:dyDescent="0.35">
      <c r="A463" s="49"/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50"/>
      <c r="Y463" s="49"/>
      <c r="Z463" s="50"/>
    </row>
    <row r="464" spans="1:26" x14ac:dyDescent="0.35">
      <c r="A464" s="49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50"/>
      <c r="Y464" s="49"/>
      <c r="Z464" s="50"/>
    </row>
    <row r="465" spans="1:26" x14ac:dyDescent="0.35">
      <c r="A465" s="49"/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50"/>
      <c r="Y465" s="49"/>
      <c r="Z465" s="50"/>
    </row>
    <row r="466" spans="1:26" x14ac:dyDescent="0.35">
      <c r="A466" s="49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50"/>
      <c r="Y466" s="49"/>
      <c r="Z466" s="50"/>
    </row>
    <row r="467" spans="1:26" x14ac:dyDescent="0.35">
      <c r="A467" s="49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50"/>
      <c r="Y467" s="49"/>
      <c r="Z467" s="50"/>
    </row>
    <row r="468" spans="1:26" x14ac:dyDescent="0.35">
      <c r="A468" s="49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50"/>
      <c r="Y468" s="49"/>
      <c r="Z468" s="50"/>
    </row>
    <row r="469" spans="1:26" x14ac:dyDescent="0.35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50"/>
      <c r="Y469" s="49"/>
      <c r="Z469" s="50"/>
    </row>
    <row r="470" spans="1:26" x14ac:dyDescent="0.35">
      <c r="A470" s="49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50"/>
      <c r="Y470" s="49"/>
      <c r="Z470" s="50"/>
    </row>
    <row r="471" spans="1:26" x14ac:dyDescent="0.35">
      <c r="A471" s="49"/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50"/>
      <c r="Y471" s="49"/>
      <c r="Z471" s="50"/>
    </row>
    <row r="472" spans="1:26" x14ac:dyDescent="0.35">
      <c r="A472" s="49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50"/>
      <c r="Y472" s="49"/>
      <c r="Z472" s="50"/>
    </row>
    <row r="473" spans="1:26" x14ac:dyDescent="0.35">
      <c r="A473" s="49"/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50"/>
      <c r="Y473" s="49"/>
      <c r="Z473" s="50"/>
    </row>
    <row r="474" spans="1:26" x14ac:dyDescent="0.35">
      <c r="A474" s="49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50"/>
      <c r="Y474" s="49"/>
      <c r="Z474" s="50"/>
    </row>
    <row r="475" spans="1:26" x14ac:dyDescent="0.35">
      <c r="A475" s="49"/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50"/>
      <c r="Y475" s="49"/>
      <c r="Z475" s="50"/>
    </row>
    <row r="476" spans="1:26" x14ac:dyDescent="0.35">
      <c r="A476" s="49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50"/>
      <c r="Y476" s="49"/>
      <c r="Z476" s="50"/>
    </row>
    <row r="477" spans="1:26" x14ac:dyDescent="0.35">
      <c r="A477" s="49"/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50"/>
      <c r="Y477" s="49"/>
      <c r="Z477" s="50"/>
    </row>
    <row r="478" spans="1:26" x14ac:dyDescent="0.35">
      <c r="A478" s="49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50"/>
      <c r="Y478" s="49"/>
      <c r="Z478" s="50"/>
    </row>
    <row r="479" spans="1:26" x14ac:dyDescent="0.35">
      <c r="A479" s="49"/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50"/>
      <c r="Y479" s="49"/>
      <c r="Z479" s="50"/>
    </row>
    <row r="480" spans="1:26" x14ac:dyDescent="0.35">
      <c r="A480" s="49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50"/>
      <c r="Y480" s="49"/>
      <c r="Z480" s="50"/>
    </row>
    <row r="481" spans="1:26" x14ac:dyDescent="0.35">
      <c r="A481" s="49"/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50"/>
      <c r="Y481" s="49"/>
      <c r="Z481" s="50"/>
    </row>
    <row r="482" spans="1:26" x14ac:dyDescent="0.35">
      <c r="A482" s="49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50"/>
      <c r="Y482" s="49"/>
      <c r="Z482" s="50"/>
    </row>
    <row r="483" spans="1:26" x14ac:dyDescent="0.35">
      <c r="A483" s="49"/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50"/>
      <c r="Y483" s="49"/>
      <c r="Z483" s="50"/>
    </row>
    <row r="484" spans="1:26" x14ac:dyDescent="0.35">
      <c r="A484" s="49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50"/>
      <c r="Y484" s="49"/>
      <c r="Z484" s="50"/>
    </row>
    <row r="485" spans="1:26" x14ac:dyDescent="0.35">
      <c r="A485" s="49"/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50"/>
      <c r="Y485" s="49"/>
      <c r="Z485" s="50"/>
    </row>
    <row r="486" spans="1:26" x14ac:dyDescent="0.35">
      <c r="A486" s="49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50"/>
      <c r="Y486" s="49"/>
      <c r="Z486" s="50"/>
    </row>
    <row r="487" spans="1:26" x14ac:dyDescent="0.35">
      <c r="A487" s="49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50"/>
      <c r="Y487" s="49"/>
      <c r="Z487" s="50"/>
    </row>
    <row r="488" spans="1:26" x14ac:dyDescent="0.35">
      <c r="A488" s="49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50"/>
      <c r="Y488" s="49"/>
      <c r="Z488" s="50"/>
    </row>
    <row r="489" spans="1:26" x14ac:dyDescent="0.35">
      <c r="A489" s="49"/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50"/>
      <c r="Y489" s="49"/>
      <c r="Z489" s="50"/>
    </row>
    <row r="490" spans="1:26" x14ac:dyDescent="0.35">
      <c r="A490" s="49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50"/>
      <c r="Y490" s="49"/>
      <c r="Z490" s="50"/>
    </row>
    <row r="491" spans="1:26" x14ac:dyDescent="0.35">
      <c r="A491" s="49"/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50"/>
      <c r="Y491" s="49"/>
      <c r="Z491" s="50"/>
    </row>
    <row r="492" spans="1:26" x14ac:dyDescent="0.35">
      <c r="A492" s="49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50"/>
      <c r="Y492" s="49"/>
      <c r="Z492" s="50"/>
    </row>
    <row r="493" spans="1:26" x14ac:dyDescent="0.35">
      <c r="A493" s="49"/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50"/>
      <c r="Y493" s="49"/>
      <c r="Z493" s="50"/>
    </row>
    <row r="494" spans="1:26" x14ac:dyDescent="0.35">
      <c r="A494" s="49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50"/>
      <c r="Y494" s="49"/>
      <c r="Z494" s="50"/>
    </row>
    <row r="495" spans="1:26" x14ac:dyDescent="0.35">
      <c r="A495" s="49"/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50"/>
      <c r="Y495" s="49"/>
      <c r="Z495" s="50"/>
    </row>
    <row r="496" spans="1:26" x14ac:dyDescent="0.35">
      <c r="A496" s="49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50"/>
      <c r="Y496" s="49"/>
      <c r="Z496" s="50"/>
    </row>
    <row r="497" spans="1:26" x14ac:dyDescent="0.35">
      <c r="A497" s="49"/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50"/>
      <c r="Y497" s="49"/>
      <c r="Z497" s="50"/>
    </row>
    <row r="498" spans="1:26" x14ac:dyDescent="0.35">
      <c r="A498" s="49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50"/>
      <c r="Y498" s="49"/>
      <c r="Z498" s="50"/>
    </row>
    <row r="499" spans="1:26" x14ac:dyDescent="0.35">
      <c r="A499" s="49"/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50"/>
      <c r="Y499" s="49"/>
      <c r="Z499" s="50"/>
    </row>
    <row r="500" spans="1:26" x14ac:dyDescent="0.35">
      <c r="A500" s="49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50"/>
      <c r="Y500" s="49"/>
      <c r="Z500" s="50"/>
    </row>
    <row r="501" spans="1:26" x14ac:dyDescent="0.35">
      <c r="A501" s="49"/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50"/>
      <c r="Y501" s="49"/>
      <c r="Z501" s="50"/>
    </row>
    <row r="502" spans="1:26" x14ac:dyDescent="0.35">
      <c r="A502" s="49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50"/>
      <c r="Y502" s="49"/>
      <c r="Z502" s="50"/>
    </row>
    <row r="503" spans="1:26" x14ac:dyDescent="0.35">
      <c r="A503" s="49"/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50"/>
      <c r="Y503" s="49"/>
      <c r="Z503" s="50"/>
    </row>
    <row r="504" spans="1:26" x14ac:dyDescent="0.35">
      <c r="A504" s="49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50"/>
      <c r="Y504" s="49"/>
      <c r="Z504" s="50"/>
    </row>
    <row r="505" spans="1:26" x14ac:dyDescent="0.35">
      <c r="A505" s="49"/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50"/>
      <c r="Y505" s="49"/>
      <c r="Z505" s="50"/>
    </row>
    <row r="506" spans="1:26" x14ac:dyDescent="0.35">
      <c r="A506" s="49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50"/>
      <c r="Y506" s="49"/>
      <c r="Z506" s="50"/>
    </row>
    <row r="507" spans="1:26" x14ac:dyDescent="0.35">
      <c r="A507" s="49"/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50"/>
      <c r="Y507" s="49"/>
      <c r="Z507" s="50"/>
    </row>
    <row r="508" spans="1:26" x14ac:dyDescent="0.35">
      <c r="A508" s="49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50"/>
      <c r="Y508" s="49"/>
      <c r="Z508" s="50"/>
    </row>
    <row r="509" spans="1:26" x14ac:dyDescent="0.35">
      <c r="A509" s="49"/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50"/>
      <c r="Y509" s="49"/>
      <c r="Z509" s="50"/>
    </row>
    <row r="510" spans="1:26" x14ac:dyDescent="0.35">
      <c r="A510" s="49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50"/>
      <c r="Y510" s="49"/>
      <c r="Z510" s="50"/>
    </row>
    <row r="511" spans="1:26" x14ac:dyDescent="0.35">
      <c r="A511" s="49"/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50"/>
      <c r="Y511" s="49"/>
      <c r="Z511" s="50"/>
    </row>
    <row r="512" spans="1:26" x14ac:dyDescent="0.35">
      <c r="A512" s="49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50"/>
      <c r="Y512" s="49"/>
      <c r="Z512" s="50"/>
    </row>
    <row r="513" spans="1:26" x14ac:dyDescent="0.35">
      <c r="A513" s="49"/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50"/>
      <c r="Y513" s="49"/>
      <c r="Z513" s="50"/>
    </row>
    <row r="514" spans="1:26" x14ac:dyDescent="0.35">
      <c r="A514" s="49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50"/>
      <c r="Y514" s="49"/>
      <c r="Z514" s="50"/>
    </row>
    <row r="515" spans="1:26" x14ac:dyDescent="0.35">
      <c r="A515" s="49"/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50"/>
      <c r="Y515" s="49"/>
      <c r="Z515" s="50"/>
    </row>
    <row r="516" spans="1:26" x14ac:dyDescent="0.35">
      <c r="A516" s="49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50"/>
      <c r="Y516" s="49"/>
      <c r="Z516" s="50"/>
    </row>
    <row r="517" spans="1:26" x14ac:dyDescent="0.35">
      <c r="A517" s="49"/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50"/>
      <c r="Y517" s="49"/>
      <c r="Z517" s="50"/>
    </row>
    <row r="518" spans="1:26" x14ac:dyDescent="0.35">
      <c r="A518" s="49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50"/>
      <c r="Y518" s="49"/>
      <c r="Z518" s="50"/>
    </row>
    <row r="519" spans="1:26" x14ac:dyDescent="0.35">
      <c r="A519" s="49"/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50"/>
      <c r="Y519" s="49"/>
      <c r="Z519" s="50"/>
    </row>
    <row r="520" spans="1:26" x14ac:dyDescent="0.35">
      <c r="A520" s="49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50"/>
      <c r="Y520" s="49"/>
      <c r="Z520" s="50"/>
    </row>
    <row r="521" spans="1:26" x14ac:dyDescent="0.35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50"/>
      <c r="Y521" s="49"/>
      <c r="Z521" s="50"/>
    </row>
    <row r="522" spans="1:26" x14ac:dyDescent="0.35">
      <c r="A522" s="49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50"/>
      <c r="Y522" s="49"/>
      <c r="Z522" s="50"/>
    </row>
    <row r="523" spans="1:26" x14ac:dyDescent="0.35">
      <c r="A523" s="49"/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50"/>
      <c r="Y523" s="49"/>
      <c r="Z523" s="50"/>
    </row>
    <row r="524" spans="1:26" x14ac:dyDescent="0.35">
      <c r="A524" s="49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50"/>
      <c r="Y524" s="49"/>
      <c r="Z524" s="50"/>
    </row>
    <row r="525" spans="1:26" x14ac:dyDescent="0.35">
      <c r="A525" s="49"/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50"/>
      <c r="Y525" s="49"/>
      <c r="Z525" s="50"/>
    </row>
    <row r="526" spans="1:26" x14ac:dyDescent="0.35">
      <c r="A526" s="49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50"/>
      <c r="Y526" s="49"/>
      <c r="Z526" s="50"/>
    </row>
    <row r="527" spans="1:26" x14ac:dyDescent="0.35">
      <c r="A527" s="49"/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50"/>
      <c r="Y527" s="49"/>
      <c r="Z527" s="50"/>
    </row>
    <row r="528" spans="1:26" x14ac:dyDescent="0.35">
      <c r="A528" s="49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50"/>
      <c r="Y528" s="49"/>
      <c r="Z528" s="50"/>
    </row>
    <row r="529" spans="1:26" x14ac:dyDescent="0.35">
      <c r="A529" s="49"/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50"/>
      <c r="Y529" s="49"/>
      <c r="Z529" s="50"/>
    </row>
    <row r="530" spans="1:26" x14ac:dyDescent="0.35">
      <c r="A530" s="49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50"/>
      <c r="Y530" s="49"/>
      <c r="Z530" s="50"/>
    </row>
    <row r="531" spans="1:26" x14ac:dyDescent="0.35">
      <c r="A531" s="49"/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50"/>
      <c r="Y531" s="49"/>
      <c r="Z531" s="50"/>
    </row>
    <row r="532" spans="1:26" x14ac:dyDescent="0.35">
      <c r="A532" s="49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50"/>
      <c r="Y532" s="49"/>
      <c r="Z532" s="50"/>
    </row>
    <row r="533" spans="1:26" x14ac:dyDescent="0.35">
      <c r="A533" s="49"/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50"/>
      <c r="Y533" s="49"/>
      <c r="Z533" s="50"/>
    </row>
    <row r="534" spans="1:26" x14ac:dyDescent="0.35">
      <c r="A534" s="49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50"/>
      <c r="Y534" s="49"/>
      <c r="Z534" s="50"/>
    </row>
    <row r="535" spans="1:26" x14ac:dyDescent="0.35">
      <c r="A535" s="49"/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50"/>
      <c r="Y535" s="49"/>
      <c r="Z535" s="50"/>
    </row>
    <row r="536" spans="1:26" x14ac:dyDescent="0.35">
      <c r="A536" s="49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50"/>
      <c r="Y536" s="49"/>
      <c r="Z536" s="50"/>
    </row>
    <row r="537" spans="1:26" x14ac:dyDescent="0.35">
      <c r="A537" s="49"/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50"/>
      <c r="Y537" s="49"/>
      <c r="Z537" s="50"/>
    </row>
    <row r="538" spans="1:26" x14ac:dyDescent="0.35">
      <c r="A538" s="49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50"/>
      <c r="Y538" s="49"/>
      <c r="Z538" s="50"/>
    </row>
    <row r="539" spans="1:26" x14ac:dyDescent="0.35">
      <c r="A539" s="49"/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50"/>
      <c r="Y539" s="49"/>
      <c r="Z539" s="50"/>
    </row>
    <row r="540" spans="1:26" x14ac:dyDescent="0.35">
      <c r="A540" s="49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50"/>
      <c r="Y540" s="49"/>
      <c r="Z540" s="50"/>
    </row>
    <row r="541" spans="1:26" x14ac:dyDescent="0.35">
      <c r="A541" s="49"/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50"/>
      <c r="Y541" s="49"/>
      <c r="Z541" s="50"/>
    </row>
    <row r="542" spans="1:26" x14ac:dyDescent="0.35">
      <c r="A542" s="49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50"/>
      <c r="Y542" s="49"/>
      <c r="Z542" s="50"/>
    </row>
    <row r="543" spans="1:26" x14ac:dyDescent="0.35">
      <c r="A543" s="49"/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50"/>
      <c r="Y543" s="49"/>
      <c r="Z543" s="50"/>
    </row>
    <row r="544" spans="1:26" x14ac:dyDescent="0.35">
      <c r="A544" s="49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50"/>
      <c r="Y544" s="49"/>
      <c r="Z544" s="50"/>
    </row>
    <row r="545" spans="1:26" x14ac:dyDescent="0.35">
      <c r="A545" s="49"/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50"/>
      <c r="Y545" s="49"/>
      <c r="Z545" s="50"/>
    </row>
    <row r="546" spans="1:26" x14ac:dyDescent="0.35">
      <c r="A546" s="49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50"/>
      <c r="Y546" s="49"/>
      <c r="Z546" s="50"/>
    </row>
    <row r="547" spans="1:26" x14ac:dyDescent="0.35">
      <c r="A547" s="49"/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50"/>
      <c r="Y547" s="49"/>
      <c r="Z547" s="50"/>
    </row>
    <row r="548" spans="1:26" x14ac:dyDescent="0.35">
      <c r="A548" s="49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50"/>
      <c r="Y548" s="49"/>
      <c r="Z548" s="50"/>
    </row>
    <row r="549" spans="1:26" x14ac:dyDescent="0.35">
      <c r="A549" s="49"/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50"/>
      <c r="Y549" s="49"/>
      <c r="Z549" s="50"/>
    </row>
    <row r="550" spans="1:26" x14ac:dyDescent="0.35">
      <c r="A550" s="49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50"/>
      <c r="Y550" s="49"/>
      <c r="Z550" s="50"/>
    </row>
    <row r="551" spans="1:26" x14ac:dyDescent="0.35">
      <c r="A551" s="49"/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50"/>
      <c r="Y551" s="49"/>
      <c r="Z551" s="50"/>
    </row>
    <row r="552" spans="1:26" x14ac:dyDescent="0.35">
      <c r="A552" s="49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50"/>
      <c r="Y552" s="49"/>
      <c r="Z552" s="50"/>
    </row>
    <row r="553" spans="1:26" x14ac:dyDescent="0.35">
      <c r="A553" s="49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50"/>
      <c r="Y553" s="49"/>
      <c r="Z553" s="50"/>
    </row>
    <row r="554" spans="1:26" x14ac:dyDescent="0.35">
      <c r="A554" s="49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50"/>
      <c r="Y554" s="49"/>
      <c r="Z554" s="50"/>
    </row>
    <row r="555" spans="1:26" x14ac:dyDescent="0.35">
      <c r="A555" s="49"/>
      <c r="B555" s="49"/>
      <c r="C555" s="49"/>
      <c r="D555" s="49"/>
      <c r="E555" s="49"/>
      <c r="F555" s="49"/>
      <c r="G555" s="53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50"/>
      <c r="Y555" s="49"/>
      <c r="Z555" s="50"/>
    </row>
    <row r="556" spans="1:26" x14ac:dyDescent="0.35">
      <c r="A556" s="49"/>
      <c r="B556" s="49"/>
      <c r="C556" s="49"/>
      <c r="D556" s="49"/>
      <c r="E556" s="49"/>
      <c r="F556" s="49"/>
      <c r="G556" s="53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50"/>
      <c r="Y556" s="49"/>
      <c r="Z556" s="50"/>
    </row>
    <row r="557" spans="1:26" x14ac:dyDescent="0.35">
      <c r="A557" s="49"/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50"/>
      <c r="Y557" s="49"/>
      <c r="Z557" s="50"/>
    </row>
    <row r="558" spans="1:26" x14ac:dyDescent="0.35">
      <c r="A558" s="49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50"/>
      <c r="Y558" s="49"/>
      <c r="Z558" s="50"/>
    </row>
    <row r="559" spans="1:26" x14ac:dyDescent="0.35">
      <c r="A559" s="49"/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50"/>
      <c r="Y559" s="49"/>
      <c r="Z559" s="50"/>
    </row>
    <row r="560" spans="1:26" x14ac:dyDescent="0.35">
      <c r="A560" s="49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50"/>
      <c r="Y560" s="49"/>
      <c r="Z560" s="50"/>
    </row>
    <row r="561" spans="1:26" x14ac:dyDescent="0.35">
      <c r="A561" s="49"/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50"/>
      <c r="Y561" s="49"/>
      <c r="Z561" s="50"/>
    </row>
    <row r="562" spans="1:26" x14ac:dyDescent="0.35">
      <c r="A562" s="49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50"/>
      <c r="Y562" s="49"/>
      <c r="Z562" s="50"/>
    </row>
    <row r="563" spans="1:26" x14ac:dyDescent="0.35">
      <c r="A563" s="49"/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50"/>
      <c r="Y563" s="49"/>
      <c r="Z563" s="50"/>
    </row>
    <row r="564" spans="1:26" x14ac:dyDescent="0.35">
      <c r="A564" s="49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50"/>
      <c r="Y564" s="49"/>
      <c r="Z564" s="50"/>
    </row>
    <row r="565" spans="1:26" x14ac:dyDescent="0.35">
      <c r="A565" s="49"/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50"/>
      <c r="Y565" s="49"/>
      <c r="Z565" s="50"/>
    </row>
    <row r="566" spans="1:26" x14ac:dyDescent="0.35">
      <c r="A566" s="49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50"/>
      <c r="Y566" s="49"/>
      <c r="Z566" s="50"/>
    </row>
    <row r="567" spans="1:26" x14ac:dyDescent="0.35">
      <c r="A567" s="49"/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50"/>
      <c r="Y567" s="49"/>
      <c r="Z567" s="50"/>
    </row>
    <row r="568" spans="1:26" x14ac:dyDescent="0.35">
      <c r="A568" s="49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50"/>
      <c r="Y568" s="49"/>
      <c r="Z568" s="50"/>
    </row>
    <row r="569" spans="1:26" x14ac:dyDescent="0.35">
      <c r="A569" s="49"/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50"/>
      <c r="Y569" s="49"/>
      <c r="Z569" s="50"/>
    </row>
    <row r="570" spans="1:26" x14ac:dyDescent="0.35">
      <c r="A570" s="49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50"/>
      <c r="Y570" s="49"/>
      <c r="Z570" s="50"/>
    </row>
    <row r="571" spans="1:26" x14ac:dyDescent="0.35">
      <c r="A571" s="49"/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50"/>
      <c r="Y571" s="49"/>
      <c r="Z571" s="50"/>
    </row>
    <row r="572" spans="1:26" x14ac:dyDescent="0.35">
      <c r="A572" s="49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50"/>
      <c r="Y572" s="49"/>
      <c r="Z572" s="50"/>
    </row>
    <row r="573" spans="1:26" x14ac:dyDescent="0.35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50"/>
      <c r="Y573" s="49"/>
      <c r="Z573" s="50"/>
    </row>
    <row r="574" spans="1:26" x14ac:dyDescent="0.35">
      <c r="A574" s="49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50"/>
      <c r="Y574" s="49"/>
      <c r="Z574" s="50"/>
    </row>
    <row r="575" spans="1:26" x14ac:dyDescent="0.35">
      <c r="A575" s="49"/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50"/>
      <c r="Y575" s="49"/>
      <c r="Z575" s="50"/>
    </row>
    <row r="576" spans="1:26" x14ac:dyDescent="0.35">
      <c r="A576" s="49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50"/>
      <c r="Y576" s="49"/>
      <c r="Z576" s="50"/>
    </row>
    <row r="577" spans="1:26" x14ac:dyDescent="0.35">
      <c r="A577" s="49"/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50"/>
      <c r="Y577" s="49"/>
      <c r="Z577" s="50"/>
    </row>
    <row r="578" spans="1:26" x14ac:dyDescent="0.35">
      <c r="A578" s="49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50"/>
      <c r="Y578" s="49"/>
      <c r="Z578" s="50"/>
    </row>
    <row r="579" spans="1:26" x14ac:dyDescent="0.35">
      <c r="A579" s="49"/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50"/>
      <c r="Y579" s="49"/>
      <c r="Z579" s="50"/>
    </row>
    <row r="580" spans="1:26" x14ac:dyDescent="0.35">
      <c r="A580" s="49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50"/>
      <c r="Y580" s="49"/>
      <c r="Z580" s="50"/>
    </row>
    <row r="581" spans="1:26" x14ac:dyDescent="0.35">
      <c r="A581" s="49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50"/>
      <c r="Y581" s="49"/>
      <c r="Z581" s="50"/>
    </row>
    <row r="582" spans="1:26" x14ac:dyDescent="0.35">
      <c r="A582" s="49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50"/>
      <c r="Y582" s="49"/>
      <c r="Z582" s="50"/>
    </row>
    <row r="583" spans="1:26" x14ac:dyDescent="0.35">
      <c r="A583" s="49"/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50"/>
      <c r="Y583" s="49"/>
      <c r="Z583" s="50"/>
    </row>
    <row r="584" spans="1:26" x14ac:dyDescent="0.35">
      <c r="A584" s="49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50"/>
      <c r="Y584" s="49"/>
      <c r="Z584" s="50"/>
    </row>
    <row r="585" spans="1:26" x14ac:dyDescent="0.35">
      <c r="A585" s="49"/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50"/>
      <c r="Y585" s="49"/>
      <c r="Z585" s="50"/>
    </row>
    <row r="586" spans="1:26" x14ac:dyDescent="0.35">
      <c r="A586" s="49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50"/>
      <c r="Y586" s="49"/>
      <c r="Z586" s="50"/>
    </row>
    <row r="587" spans="1:26" x14ac:dyDescent="0.35">
      <c r="A587" s="49"/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50"/>
      <c r="Y587" s="49"/>
      <c r="Z587" s="50"/>
    </row>
    <row r="588" spans="1:26" x14ac:dyDescent="0.35">
      <c r="A588" s="49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50"/>
      <c r="Y588" s="49"/>
      <c r="Z588" s="50"/>
    </row>
    <row r="589" spans="1:26" x14ac:dyDescent="0.35">
      <c r="A589" s="49"/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50"/>
      <c r="Y589" s="49"/>
      <c r="Z589" s="50"/>
    </row>
    <row r="590" spans="1:26" x14ac:dyDescent="0.35">
      <c r="A590" s="49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50"/>
      <c r="Y590" s="49"/>
      <c r="Z590" s="50"/>
    </row>
    <row r="591" spans="1:26" x14ac:dyDescent="0.35">
      <c r="A591" s="49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50"/>
      <c r="Y591" s="49"/>
      <c r="Z591" s="50"/>
    </row>
    <row r="592" spans="1:26" x14ac:dyDescent="0.35">
      <c r="A592" s="49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50"/>
      <c r="Y592" s="49"/>
      <c r="Z592" s="50"/>
    </row>
    <row r="593" spans="1:26" x14ac:dyDescent="0.35">
      <c r="A593" s="49"/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50"/>
      <c r="Y593" s="49"/>
      <c r="Z593" s="50"/>
    </row>
    <row r="594" spans="1:26" x14ac:dyDescent="0.35">
      <c r="A594" s="49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50"/>
      <c r="Y594" s="49"/>
      <c r="Z594" s="50"/>
    </row>
    <row r="595" spans="1:26" x14ac:dyDescent="0.35">
      <c r="A595" s="49"/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50"/>
      <c r="Y595" s="49"/>
      <c r="Z595" s="50"/>
    </row>
    <row r="596" spans="1:26" x14ac:dyDescent="0.35">
      <c r="A596" s="49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50"/>
      <c r="Y596" s="49"/>
      <c r="Z596" s="50"/>
    </row>
    <row r="597" spans="1:26" x14ac:dyDescent="0.35">
      <c r="A597" s="49"/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50"/>
      <c r="Y597" s="49"/>
      <c r="Z597" s="50"/>
    </row>
    <row r="598" spans="1:26" x14ac:dyDescent="0.35">
      <c r="A598" s="49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50"/>
      <c r="Y598" s="49"/>
      <c r="Z598" s="50"/>
    </row>
    <row r="599" spans="1:26" x14ac:dyDescent="0.35">
      <c r="A599" s="49"/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50"/>
      <c r="Y599" s="49"/>
      <c r="Z599" s="50"/>
    </row>
    <row r="600" spans="1:26" x14ac:dyDescent="0.35">
      <c r="A600" s="49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50"/>
      <c r="Y600" s="49"/>
      <c r="Z600" s="50"/>
    </row>
    <row r="601" spans="1:26" x14ac:dyDescent="0.35">
      <c r="A601" s="49"/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50"/>
      <c r="Y601" s="49"/>
      <c r="Z601" s="50"/>
    </row>
    <row r="602" spans="1:26" x14ac:dyDescent="0.35">
      <c r="A602" s="49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50"/>
      <c r="Y602" s="49"/>
      <c r="Z602" s="50"/>
    </row>
    <row r="603" spans="1:26" x14ac:dyDescent="0.35">
      <c r="A603" s="49"/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50"/>
      <c r="Y603" s="49"/>
      <c r="Z603" s="50"/>
    </row>
    <row r="604" spans="1:26" x14ac:dyDescent="0.35">
      <c r="A604" s="49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50"/>
      <c r="Y604" s="49"/>
      <c r="Z604" s="50"/>
    </row>
    <row r="605" spans="1:26" x14ac:dyDescent="0.35">
      <c r="A605" s="49"/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50"/>
      <c r="Y605" s="49"/>
      <c r="Z605" s="50"/>
    </row>
    <row r="606" spans="1:26" x14ac:dyDescent="0.35">
      <c r="A606" s="49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50"/>
      <c r="Y606" s="49"/>
      <c r="Z606" s="50"/>
    </row>
    <row r="607" spans="1:26" x14ac:dyDescent="0.35">
      <c r="A607" s="49"/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50"/>
      <c r="Y607" s="49"/>
      <c r="Z607" s="50"/>
    </row>
    <row r="608" spans="1:26" x14ac:dyDescent="0.35">
      <c r="A608" s="49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50"/>
      <c r="Y608" s="49"/>
      <c r="Z608" s="50"/>
    </row>
    <row r="609" spans="1:26" x14ac:dyDescent="0.35">
      <c r="A609" s="49"/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50"/>
      <c r="Y609" s="49"/>
      <c r="Z609" s="50"/>
    </row>
    <row r="610" spans="1:26" x14ac:dyDescent="0.35">
      <c r="A610" s="49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50"/>
      <c r="Y610" s="49"/>
      <c r="Z610" s="50"/>
    </row>
    <row r="611" spans="1:26" x14ac:dyDescent="0.35">
      <c r="A611" s="49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50"/>
      <c r="Y611" s="49"/>
      <c r="Z611" s="50"/>
    </row>
    <row r="612" spans="1:26" x14ac:dyDescent="0.35">
      <c r="A612" s="49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50"/>
      <c r="Y612" s="49"/>
      <c r="Z612" s="50"/>
    </row>
    <row r="613" spans="1:26" x14ac:dyDescent="0.35">
      <c r="A613" s="49"/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50"/>
      <c r="Y613" s="49"/>
      <c r="Z613" s="50"/>
    </row>
    <row r="614" spans="1:26" x14ac:dyDescent="0.35">
      <c r="A614" s="49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50"/>
      <c r="Y614" s="49"/>
      <c r="Z614" s="50"/>
    </row>
    <row r="615" spans="1:26" x14ac:dyDescent="0.35">
      <c r="A615" s="49"/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50"/>
      <c r="Y615" s="49"/>
      <c r="Z615" s="50"/>
    </row>
    <row r="616" spans="1:26" x14ac:dyDescent="0.35">
      <c r="A616" s="49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50"/>
      <c r="Y616" s="49"/>
      <c r="Z616" s="50"/>
    </row>
    <row r="617" spans="1:26" x14ac:dyDescent="0.35">
      <c r="A617" s="49"/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50"/>
      <c r="Y617" s="49"/>
      <c r="Z617" s="50"/>
    </row>
    <row r="618" spans="1:26" x14ac:dyDescent="0.35">
      <c r="A618" s="49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50"/>
      <c r="Y618" s="49"/>
      <c r="Z618" s="50"/>
    </row>
    <row r="619" spans="1:26" x14ac:dyDescent="0.35">
      <c r="A619" s="49"/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50"/>
      <c r="Y619" s="49"/>
      <c r="Z619" s="50"/>
    </row>
    <row r="620" spans="1:26" x14ac:dyDescent="0.35">
      <c r="A620" s="49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50"/>
      <c r="Y620" s="49"/>
      <c r="Z620" s="50"/>
    </row>
    <row r="621" spans="1:26" x14ac:dyDescent="0.35">
      <c r="A621" s="49"/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50"/>
      <c r="Y621" s="49"/>
      <c r="Z621" s="50"/>
    </row>
    <row r="622" spans="1:26" x14ac:dyDescent="0.35">
      <c r="A622" s="49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50"/>
      <c r="Y622" s="49"/>
      <c r="Z622" s="50"/>
    </row>
    <row r="623" spans="1:26" x14ac:dyDescent="0.35">
      <c r="A623" s="49"/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50"/>
      <c r="Y623" s="49"/>
      <c r="Z623" s="50"/>
    </row>
    <row r="624" spans="1:26" x14ac:dyDescent="0.35">
      <c r="A624" s="49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50"/>
      <c r="Y624" s="49"/>
      <c r="Z624" s="50"/>
    </row>
    <row r="625" spans="1:26" x14ac:dyDescent="0.35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50"/>
      <c r="Y625" s="49"/>
      <c r="Z625" s="50"/>
    </row>
    <row r="626" spans="1:26" x14ac:dyDescent="0.35">
      <c r="A626" s="49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50"/>
      <c r="Y626" s="49"/>
      <c r="Z626" s="50"/>
    </row>
    <row r="627" spans="1:26" x14ac:dyDescent="0.35">
      <c r="A627" s="49"/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50"/>
      <c r="Y627" s="49"/>
      <c r="Z627" s="50"/>
    </row>
    <row r="628" spans="1:26" x14ac:dyDescent="0.35">
      <c r="A628" s="49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50"/>
      <c r="Y628" s="49"/>
      <c r="Z628" s="50"/>
    </row>
    <row r="629" spans="1:26" x14ac:dyDescent="0.35">
      <c r="A629" s="49"/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50"/>
      <c r="Y629" s="49"/>
      <c r="Z629" s="50"/>
    </row>
    <row r="630" spans="1:26" x14ac:dyDescent="0.35">
      <c r="A630" s="49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50"/>
      <c r="Y630" s="49"/>
      <c r="Z630" s="50"/>
    </row>
    <row r="631" spans="1:26" x14ac:dyDescent="0.35">
      <c r="A631" s="49"/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50"/>
      <c r="Y631" s="49"/>
      <c r="Z631" s="50"/>
    </row>
    <row r="632" spans="1:26" x14ac:dyDescent="0.35">
      <c r="A632" s="49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50"/>
      <c r="Y632" s="49"/>
      <c r="Z632" s="50"/>
    </row>
    <row r="633" spans="1:26" x14ac:dyDescent="0.35">
      <c r="A633" s="49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50"/>
      <c r="Y633" s="49"/>
      <c r="Z633" s="50"/>
    </row>
    <row r="634" spans="1:26" x14ac:dyDescent="0.35">
      <c r="A634" s="49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50"/>
      <c r="Y634" s="49"/>
      <c r="Z634" s="50"/>
    </row>
    <row r="635" spans="1:26" x14ac:dyDescent="0.35">
      <c r="A635" s="49"/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50"/>
      <c r="Y635" s="49"/>
      <c r="Z635" s="50"/>
    </row>
    <row r="636" spans="1:26" x14ac:dyDescent="0.35">
      <c r="A636" s="49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50"/>
      <c r="Y636" s="49"/>
      <c r="Z636" s="50"/>
    </row>
    <row r="637" spans="1:26" x14ac:dyDescent="0.35">
      <c r="A637" s="49"/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50"/>
      <c r="Y637" s="49"/>
      <c r="Z637" s="50"/>
    </row>
    <row r="638" spans="1:26" x14ac:dyDescent="0.35">
      <c r="A638" s="49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50"/>
      <c r="Y638" s="49"/>
      <c r="Z638" s="50"/>
    </row>
    <row r="639" spans="1:26" x14ac:dyDescent="0.35">
      <c r="A639" s="49"/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50"/>
      <c r="Y639" s="49"/>
      <c r="Z639" s="50"/>
    </row>
    <row r="640" spans="1:26" x14ac:dyDescent="0.35">
      <c r="A640" s="49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50"/>
      <c r="Y640" s="49"/>
      <c r="Z640" s="50"/>
    </row>
    <row r="641" spans="1:26" x14ac:dyDescent="0.35">
      <c r="A641" s="49"/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50"/>
      <c r="Y641" s="49"/>
      <c r="Z641" s="50"/>
    </row>
    <row r="642" spans="1:26" x14ac:dyDescent="0.35">
      <c r="A642" s="49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50"/>
      <c r="Y642" s="49"/>
      <c r="Z642" s="50"/>
    </row>
    <row r="643" spans="1:26" x14ac:dyDescent="0.35">
      <c r="A643" s="49"/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50"/>
      <c r="Y643" s="49"/>
      <c r="Z643" s="50"/>
    </row>
    <row r="644" spans="1:26" x14ac:dyDescent="0.35">
      <c r="A644" s="49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50"/>
      <c r="Y644" s="49"/>
      <c r="Z644" s="50"/>
    </row>
    <row r="645" spans="1:26" x14ac:dyDescent="0.35">
      <c r="A645" s="49"/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50"/>
      <c r="Y645" s="49"/>
      <c r="Z645" s="50"/>
    </row>
    <row r="646" spans="1:26" x14ac:dyDescent="0.35">
      <c r="A646" s="49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50"/>
      <c r="Y646" s="49"/>
      <c r="Z646" s="50"/>
    </row>
    <row r="647" spans="1:26" x14ac:dyDescent="0.35">
      <c r="A647" s="49"/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50"/>
      <c r="Y647" s="49"/>
      <c r="Z647" s="50"/>
    </row>
    <row r="648" spans="1:26" x14ac:dyDescent="0.35">
      <c r="A648" s="49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50"/>
      <c r="Y648" s="49"/>
      <c r="Z648" s="50"/>
    </row>
    <row r="649" spans="1:26" x14ac:dyDescent="0.35">
      <c r="A649" s="49"/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50"/>
      <c r="Y649" s="49"/>
      <c r="Z649" s="50"/>
    </row>
    <row r="650" spans="1:26" x14ac:dyDescent="0.35">
      <c r="A650" s="49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50"/>
      <c r="Y650" s="49"/>
      <c r="Z650" s="50"/>
    </row>
    <row r="651" spans="1:26" x14ac:dyDescent="0.35">
      <c r="A651" s="49"/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50"/>
      <c r="Y651" s="49"/>
      <c r="Z651" s="50"/>
    </row>
    <row r="652" spans="1:26" x14ac:dyDescent="0.35">
      <c r="A652" s="49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50"/>
      <c r="Y652" s="49"/>
      <c r="Z652" s="50"/>
    </row>
    <row r="653" spans="1:26" x14ac:dyDescent="0.35">
      <c r="A653" s="49"/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50"/>
      <c r="Y653" s="49"/>
      <c r="Z653" s="50"/>
    </row>
    <row r="654" spans="1:26" x14ac:dyDescent="0.35">
      <c r="A654" s="49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50"/>
      <c r="Y654" s="49"/>
      <c r="Z654" s="50"/>
    </row>
    <row r="655" spans="1:26" x14ac:dyDescent="0.35">
      <c r="A655" s="49"/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50"/>
      <c r="Y655" s="49"/>
      <c r="Z655" s="50"/>
    </row>
    <row r="656" spans="1:26" x14ac:dyDescent="0.35">
      <c r="A656" s="49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50"/>
      <c r="Y656" s="49"/>
      <c r="Z656" s="50"/>
    </row>
    <row r="657" spans="1:26" x14ac:dyDescent="0.35">
      <c r="A657" s="49"/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50"/>
      <c r="Y657" s="49"/>
      <c r="Z657" s="50"/>
    </row>
    <row r="658" spans="1:26" x14ac:dyDescent="0.35">
      <c r="A658" s="49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50"/>
      <c r="Y658" s="49"/>
      <c r="Z658" s="50"/>
    </row>
    <row r="659" spans="1:26" x14ac:dyDescent="0.35">
      <c r="A659" s="49"/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50"/>
      <c r="Y659" s="49"/>
      <c r="Z659" s="50"/>
    </row>
    <row r="660" spans="1:26" x14ac:dyDescent="0.35">
      <c r="A660" s="49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50"/>
      <c r="Y660" s="49"/>
      <c r="Z660" s="50"/>
    </row>
    <row r="661" spans="1:26" x14ac:dyDescent="0.35">
      <c r="A661" s="49"/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50"/>
      <c r="Y661" s="49"/>
      <c r="Z661" s="50"/>
    </row>
    <row r="662" spans="1:26" x14ac:dyDescent="0.35">
      <c r="A662" s="49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50"/>
      <c r="Y662" s="49"/>
      <c r="Z662" s="50"/>
    </row>
    <row r="663" spans="1:26" x14ac:dyDescent="0.35">
      <c r="A663" s="49"/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50"/>
      <c r="Y663" s="49"/>
      <c r="Z663" s="50"/>
    </row>
    <row r="664" spans="1:26" x14ac:dyDescent="0.35">
      <c r="A664" s="49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50"/>
      <c r="Y664" s="49"/>
      <c r="Z664" s="50"/>
    </row>
    <row r="665" spans="1:26" x14ac:dyDescent="0.35">
      <c r="A665" s="49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50"/>
      <c r="Y665" s="49"/>
      <c r="Z665" s="50"/>
    </row>
    <row r="666" spans="1:26" x14ac:dyDescent="0.35">
      <c r="A666" s="49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50"/>
      <c r="Y666" s="49"/>
      <c r="Z666" s="50"/>
    </row>
    <row r="667" spans="1:26" x14ac:dyDescent="0.35">
      <c r="A667" s="49"/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50"/>
      <c r="Y667" s="49"/>
      <c r="Z667" s="50"/>
    </row>
    <row r="668" spans="1:26" x14ac:dyDescent="0.35">
      <c r="A668" s="49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50"/>
      <c r="Y668" s="49"/>
      <c r="Z668" s="50"/>
    </row>
    <row r="669" spans="1:26" x14ac:dyDescent="0.35">
      <c r="A669" s="49"/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50"/>
      <c r="Y669" s="49"/>
      <c r="Z669" s="50"/>
    </row>
    <row r="670" spans="1:26" x14ac:dyDescent="0.35">
      <c r="A670" s="49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50"/>
      <c r="Y670" s="49"/>
      <c r="Z670" s="50"/>
    </row>
    <row r="671" spans="1:26" x14ac:dyDescent="0.35">
      <c r="A671" s="49"/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50"/>
      <c r="Y671" s="49"/>
      <c r="Z671" s="50"/>
    </row>
    <row r="672" spans="1:26" x14ac:dyDescent="0.35">
      <c r="A672" s="49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50"/>
      <c r="Y672" s="49"/>
      <c r="Z672" s="50"/>
    </row>
    <row r="673" spans="1:26" x14ac:dyDescent="0.35">
      <c r="A673" s="49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50"/>
      <c r="Y673" s="49"/>
      <c r="Z673" s="50"/>
    </row>
    <row r="674" spans="1:26" x14ac:dyDescent="0.35">
      <c r="A674" s="49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50"/>
      <c r="Y674" s="49"/>
      <c r="Z674" s="50"/>
    </row>
    <row r="675" spans="1:26" x14ac:dyDescent="0.35">
      <c r="A675" s="49"/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50"/>
      <c r="Y675" s="49"/>
      <c r="Z675" s="50"/>
    </row>
    <row r="676" spans="1:26" x14ac:dyDescent="0.35">
      <c r="A676" s="49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50"/>
      <c r="Y676" s="49"/>
      <c r="Z676" s="50"/>
    </row>
    <row r="677" spans="1:26" x14ac:dyDescent="0.35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50"/>
      <c r="Y677" s="49"/>
      <c r="Z677" s="50"/>
    </row>
    <row r="678" spans="1:26" x14ac:dyDescent="0.35">
      <c r="A678" s="49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50"/>
      <c r="Y678" s="49"/>
      <c r="Z678" s="50"/>
    </row>
    <row r="679" spans="1:26" x14ac:dyDescent="0.35">
      <c r="A679" s="49"/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50"/>
      <c r="Y679" s="49"/>
      <c r="Z679" s="50"/>
    </row>
    <row r="680" spans="1:26" x14ac:dyDescent="0.35">
      <c r="A680" s="49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50"/>
      <c r="Y680" s="49"/>
      <c r="Z680" s="50"/>
    </row>
    <row r="681" spans="1:26" x14ac:dyDescent="0.35">
      <c r="A681" s="49"/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50"/>
      <c r="Y681" s="49"/>
      <c r="Z681" s="50"/>
    </row>
    <row r="682" spans="1:26" x14ac:dyDescent="0.35">
      <c r="A682" s="49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50"/>
      <c r="Y682" s="49"/>
      <c r="Z682" s="50"/>
    </row>
    <row r="683" spans="1:26" x14ac:dyDescent="0.35">
      <c r="A683" s="49"/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50"/>
      <c r="Y683" s="49"/>
      <c r="Z683" s="50"/>
    </row>
    <row r="684" spans="1:26" x14ac:dyDescent="0.35">
      <c r="A684" s="49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50"/>
      <c r="Y684" s="49"/>
      <c r="Z684" s="50"/>
    </row>
    <row r="685" spans="1:26" x14ac:dyDescent="0.35">
      <c r="A685" s="49"/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50"/>
      <c r="Y685" s="49"/>
      <c r="Z685" s="50"/>
    </row>
    <row r="686" spans="1:26" x14ac:dyDescent="0.35">
      <c r="A686" s="49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50"/>
      <c r="Y686" s="49"/>
      <c r="Z686" s="50"/>
    </row>
    <row r="687" spans="1:26" x14ac:dyDescent="0.35">
      <c r="A687" s="49"/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50"/>
      <c r="Y687" s="49"/>
      <c r="Z687" s="50"/>
    </row>
    <row r="688" spans="1:26" x14ac:dyDescent="0.35">
      <c r="A688" s="49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50"/>
      <c r="Y688" s="49"/>
      <c r="Z688" s="50"/>
    </row>
    <row r="689" spans="1:26" x14ac:dyDescent="0.35">
      <c r="A689" s="49"/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50"/>
      <c r="Y689" s="49"/>
      <c r="Z689" s="50"/>
    </row>
    <row r="690" spans="1:26" x14ac:dyDescent="0.35">
      <c r="A690" s="49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50"/>
      <c r="Y690" s="49"/>
      <c r="Z690" s="50"/>
    </row>
    <row r="691" spans="1:26" x14ac:dyDescent="0.35">
      <c r="A691" s="49"/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50"/>
      <c r="Y691" s="49"/>
      <c r="Z691" s="50"/>
    </row>
    <row r="692" spans="1:26" x14ac:dyDescent="0.35">
      <c r="A692" s="49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50"/>
      <c r="Y692" s="49"/>
      <c r="Z692" s="50"/>
    </row>
    <row r="693" spans="1:26" x14ac:dyDescent="0.35">
      <c r="A693" s="49"/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50"/>
      <c r="Y693" s="49"/>
      <c r="Z693" s="50"/>
    </row>
    <row r="694" spans="1:26" x14ac:dyDescent="0.35">
      <c r="A694" s="49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50"/>
      <c r="Y694" s="49"/>
      <c r="Z694" s="50"/>
    </row>
    <row r="695" spans="1:26" x14ac:dyDescent="0.35">
      <c r="A695" s="49"/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50"/>
      <c r="Y695" s="49"/>
      <c r="Z695" s="50"/>
    </row>
    <row r="696" spans="1:26" x14ac:dyDescent="0.35">
      <c r="A696" s="49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50"/>
      <c r="Y696" s="49"/>
      <c r="Z696" s="50"/>
    </row>
    <row r="697" spans="1:26" x14ac:dyDescent="0.35">
      <c r="A697" s="49"/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50"/>
      <c r="Y697" s="49"/>
      <c r="Z697" s="50"/>
    </row>
    <row r="698" spans="1:26" x14ac:dyDescent="0.35">
      <c r="A698" s="49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50"/>
      <c r="Y698" s="49"/>
      <c r="Z698" s="50"/>
    </row>
    <row r="699" spans="1:26" x14ac:dyDescent="0.35">
      <c r="A699" s="49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50"/>
      <c r="Y699" s="49"/>
      <c r="Z699" s="50"/>
    </row>
    <row r="700" spans="1:26" x14ac:dyDescent="0.35">
      <c r="A700" s="49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50"/>
      <c r="Y700" s="49"/>
      <c r="Z700" s="50"/>
    </row>
    <row r="701" spans="1:26" x14ac:dyDescent="0.35">
      <c r="A701" s="49"/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50"/>
      <c r="Y701" s="49"/>
      <c r="Z701" s="50"/>
    </row>
    <row r="702" spans="1:26" x14ac:dyDescent="0.35">
      <c r="A702" s="49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50"/>
      <c r="Y702" s="49"/>
      <c r="Z702" s="50"/>
    </row>
    <row r="703" spans="1:26" x14ac:dyDescent="0.35">
      <c r="A703" s="49"/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50"/>
      <c r="Y703" s="49"/>
      <c r="Z703" s="50"/>
    </row>
    <row r="704" spans="1:26" x14ac:dyDescent="0.35">
      <c r="A704" s="49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50"/>
      <c r="Y704" s="49"/>
      <c r="Z704" s="50"/>
    </row>
    <row r="705" spans="1:26" x14ac:dyDescent="0.35">
      <c r="A705" s="49"/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50"/>
      <c r="Y705" s="49"/>
      <c r="Z705" s="50"/>
    </row>
    <row r="706" spans="1:26" x14ac:dyDescent="0.35">
      <c r="A706" s="49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50"/>
      <c r="Y706" s="49"/>
      <c r="Z706" s="50"/>
    </row>
    <row r="707" spans="1:26" x14ac:dyDescent="0.35">
      <c r="A707" s="49"/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50"/>
      <c r="Y707" s="49"/>
      <c r="Z707" s="50"/>
    </row>
    <row r="708" spans="1:26" x14ac:dyDescent="0.35">
      <c r="A708" s="49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50"/>
      <c r="Y708" s="49"/>
      <c r="Z708" s="50"/>
    </row>
    <row r="709" spans="1:26" x14ac:dyDescent="0.35">
      <c r="A709" s="49"/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50"/>
      <c r="Y709" s="49"/>
      <c r="Z709" s="50"/>
    </row>
    <row r="710" spans="1:26" x14ac:dyDescent="0.35">
      <c r="A710" s="49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50"/>
      <c r="Y710" s="49"/>
      <c r="Z710" s="50"/>
    </row>
    <row r="711" spans="1:26" x14ac:dyDescent="0.35">
      <c r="A711" s="49"/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50"/>
      <c r="Y711" s="49"/>
      <c r="Z711" s="50"/>
    </row>
    <row r="712" spans="1:26" x14ac:dyDescent="0.35">
      <c r="A712" s="49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50"/>
      <c r="Y712" s="49"/>
      <c r="Z712" s="50"/>
    </row>
    <row r="713" spans="1:26" x14ac:dyDescent="0.35">
      <c r="A713" s="49"/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50"/>
      <c r="Y713" s="49"/>
      <c r="Z713" s="50"/>
    </row>
    <row r="714" spans="1:26" x14ac:dyDescent="0.35">
      <c r="A714" s="49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50"/>
      <c r="Y714" s="49"/>
      <c r="Z714" s="50"/>
    </row>
    <row r="715" spans="1:26" x14ac:dyDescent="0.35">
      <c r="A715" s="49"/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50"/>
      <c r="Y715" s="49"/>
      <c r="Z715" s="50"/>
    </row>
    <row r="716" spans="1:26" x14ac:dyDescent="0.35">
      <c r="A716" s="49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50"/>
      <c r="Y716" s="49"/>
      <c r="Z716" s="50"/>
    </row>
    <row r="717" spans="1:26" x14ac:dyDescent="0.35">
      <c r="A717" s="49"/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50"/>
      <c r="Y717" s="49"/>
      <c r="Z717" s="50"/>
    </row>
    <row r="718" spans="1:26" x14ac:dyDescent="0.35">
      <c r="A718" s="49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50"/>
      <c r="Y718" s="49"/>
      <c r="Z718" s="50"/>
    </row>
    <row r="719" spans="1:26" x14ac:dyDescent="0.35">
      <c r="A719" s="49"/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50"/>
      <c r="Y719" s="49"/>
      <c r="Z719" s="50"/>
    </row>
    <row r="720" spans="1:26" x14ac:dyDescent="0.35">
      <c r="A720" s="49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50"/>
      <c r="Y720" s="49"/>
      <c r="Z720" s="50"/>
    </row>
    <row r="721" spans="1:26" x14ac:dyDescent="0.35">
      <c r="A721" s="49"/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50"/>
      <c r="Y721" s="49"/>
      <c r="Z721" s="50"/>
    </row>
    <row r="722" spans="1:26" x14ac:dyDescent="0.35">
      <c r="A722" s="49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50"/>
      <c r="Y722" s="49"/>
      <c r="Z722" s="50"/>
    </row>
    <row r="723" spans="1:26" x14ac:dyDescent="0.35">
      <c r="A723" s="49"/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50"/>
      <c r="Y723" s="49"/>
      <c r="Z723" s="50"/>
    </row>
    <row r="724" spans="1:26" x14ac:dyDescent="0.35">
      <c r="A724" s="49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50"/>
      <c r="Y724" s="49"/>
      <c r="Z724" s="50"/>
    </row>
    <row r="725" spans="1:26" x14ac:dyDescent="0.35">
      <c r="A725" s="49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50"/>
      <c r="Y725" s="49"/>
      <c r="Z725" s="50"/>
    </row>
    <row r="726" spans="1:26" x14ac:dyDescent="0.35">
      <c r="A726" s="49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50"/>
      <c r="Y726" s="49"/>
      <c r="Z726" s="50"/>
    </row>
    <row r="727" spans="1:26" x14ac:dyDescent="0.35">
      <c r="A727" s="49"/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50"/>
      <c r="Y727" s="49"/>
      <c r="Z727" s="50"/>
    </row>
    <row r="728" spans="1:26" x14ac:dyDescent="0.35">
      <c r="A728" s="49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50"/>
      <c r="Y728" s="49"/>
      <c r="Z728" s="50"/>
    </row>
    <row r="729" spans="1:26" x14ac:dyDescent="0.35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50"/>
      <c r="Y729" s="49"/>
      <c r="Z729" s="50"/>
    </row>
    <row r="730" spans="1:26" x14ac:dyDescent="0.35">
      <c r="A730" s="49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50"/>
      <c r="Y730" s="49"/>
      <c r="Z730" s="50"/>
    </row>
    <row r="731" spans="1:26" x14ac:dyDescent="0.35">
      <c r="A731" s="49"/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50"/>
      <c r="Y731" s="49"/>
      <c r="Z731" s="50"/>
    </row>
    <row r="732" spans="1:26" x14ac:dyDescent="0.35">
      <c r="A732" s="49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50"/>
      <c r="Y732" s="49"/>
      <c r="Z732" s="50"/>
    </row>
    <row r="733" spans="1:26" x14ac:dyDescent="0.35">
      <c r="A733" s="49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50"/>
      <c r="Y733" s="49"/>
      <c r="Z733" s="50"/>
    </row>
    <row r="734" spans="1:26" x14ac:dyDescent="0.35">
      <c r="A734" s="49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50"/>
      <c r="Y734" s="49"/>
      <c r="Z734" s="50"/>
    </row>
    <row r="735" spans="1:26" x14ac:dyDescent="0.35">
      <c r="A735" s="49"/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50"/>
      <c r="Y735" s="49"/>
      <c r="Z735" s="50"/>
    </row>
    <row r="736" spans="1:26" x14ac:dyDescent="0.35">
      <c r="A736" s="49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50"/>
      <c r="Y736" s="49"/>
      <c r="Z736" s="50"/>
    </row>
    <row r="737" spans="1:26" x14ac:dyDescent="0.35">
      <c r="A737" s="49"/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50"/>
      <c r="Y737" s="49"/>
      <c r="Z737" s="50"/>
    </row>
    <row r="738" spans="1:26" x14ac:dyDescent="0.35">
      <c r="A738" s="49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50"/>
      <c r="Y738" s="49"/>
      <c r="Z738" s="50"/>
    </row>
    <row r="739" spans="1:26" x14ac:dyDescent="0.35">
      <c r="A739" s="49"/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50"/>
      <c r="Y739" s="49"/>
      <c r="Z739" s="50"/>
    </row>
    <row r="740" spans="1:26" x14ac:dyDescent="0.35">
      <c r="A740" s="49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50"/>
      <c r="Y740" s="49"/>
      <c r="Z740" s="50"/>
    </row>
    <row r="741" spans="1:26" x14ac:dyDescent="0.35">
      <c r="A741" s="49"/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50"/>
      <c r="Y741" s="49"/>
      <c r="Z741" s="50"/>
    </row>
    <row r="742" spans="1:26" x14ac:dyDescent="0.35">
      <c r="A742" s="49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50"/>
      <c r="Y742" s="49"/>
      <c r="Z742" s="50"/>
    </row>
    <row r="743" spans="1:26" x14ac:dyDescent="0.35">
      <c r="A743" s="49"/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50"/>
      <c r="Y743" s="49"/>
      <c r="Z743" s="50"/>
    </row>
    <row r="744" spans="1:26" x14ac:dyDescent="0.35">
      <c r="A744" s="49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50"/>
      <c r="Y744" s="49"/>
      <c r="Z744" s="50"/>
    </row>
    <row r="745" spans="1:26" x14ac:dyDescent="0.35">
      <c r="A745" s="49"/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50"/>
      <c r="Y745" s="49"/>
      <c r="Z745" s="50"/>
    </row>
    <row r="746" spans="1:26" x14ac:dyDescent="0.35">
      <c r="A746" s="49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50"/>
      <c r="Y746" s="49"/>
      <c r="Z746" s="50"/>
    </row>
    <row r="747" spans="1:26" x14ac:dyDescent="0.35">
      <c r="A747" s="49"/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50"/>
      <c r="Y747" s="49"/>
      <c r="Z747" s="50"/>
    </row>
    <row r="748" spans="1:26" x14ac:dyDescent="0.35">
      <c r="A748" s="49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50"/>
      <c r="Y748" s="49"/>
      <c r="Z748" s="50"/>
    </row>
    <row r="749" spans="1:26" x14ac:dyDescent="0.35">
      <c r="A749" s="49"/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50"/>
      <c r="Y749" s="49"/>
      <c r="Z749" s="50"/>
    </row>
    <row r="750" spans="1:26" x14ac:dyDescent="0.35">
      <c r="A750" s="49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50"/>
      <c r="Y750" s="49"/>
      <c r="Z750" s="50"/>
    </row>
    <row r="751" spans="1:26" x14ac:dyDescent="0.35">
      <c r="A751" s="49"/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50"/>
      <c r="Y751" s="49"/>
      <c r="Z751" s="50"/>
    </row>
    <row r="752" spans="1:26" x14ac:dyDescent="0.35">
      <c r="A752" s="49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50"/>
      <c r="Y752" s="49"/>
      <c r="Z752" s="50"/>
    </row>
    <row r="753" spans="1:26" x14ac:dyDescent="0.35">
      <c r="A753" s="49"/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50"/>
      <c r="Y753" s="49"/>
      <c r="Z753" s="50"/>
    </row>
    <row r="754" spans="1:26" x14ac:dyDescent="0.35">
      <c r="A754" s="49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50"/>
      <c r="Y754" s="49"/>
      <c r="Z754" s="50"/>
    </row>
    <row r="755" spans="1:26" x14ac:dyDescent="0.35">
      <c r="A755" s="49"/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50"/>
      <c r="Y755" s="49"/>
      <c r="Z755" s="50"/>
    </row>
    <row r="756" spans="1:26" x14ac:dyDescent="0.35">
      <c r="A756" s="49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50"/>
      <c r="Y756" s="49"/>
      <c r="Z756" s="50"/>
    </row>
    <row r="757" spans="1:26" x14ac:dyDescent="0.35">
      <c r="A757" s="49"/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50"/>
      <c r="Y757" s="49"/>
      <c r="Z757" s="50"/>
    </row>
    <row r="758" spans="1:26" x14ac:dyDescent="0.35">
      <c r="A758" s="49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50"/>
      <c r="Y758" s="49"/>
      <c r="Z758" s="50"/>
    </row>
    <row r="759" spans="1:26" x14ac:dyDescent="0.35">
      <c r="A759" s="49"/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50"/>
      <c r="Y759" s="49"/>
      <c r="Z759" s="50"/>
    </row>
    <row r="760" spans="1:26" x14ac:dyDescent="0.35">
      <c r="A760" s="49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50"/>
      <c r="Y760" s="49"/>
      <c r="Z760" s="50"/>
    </row>
    <row r="761" spans="1:26" x14ac:dyDescent="0.35">
      <c r="A761" s="49"/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50"/>
      <c r="Y761" s="49"/>
      <c r="Z761" s="50"/>
    </row>
    <row r="762" spans="1:26" x14ac:dyDescent="0.35">
      <c r="A762" s="49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50"/>
      <c r="Y762" s="49"/>
      <c r="Z762" s="50"/>
    </row>
    <row r="763" spans="1:26" x14ac:dyDescent="0.35">
      <c r="A763" s="49"/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50"/>
      <c r="Y763" s="49"/>
      <c r="Z763" s="50"/>
    </row>
    <row r="764" spans="1:26" x14ac:dyDescent="0.35">
      <c r="A764" s="49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50"/>
      <c r="Y764" s="49"/>
      <c r="Z764" s="50"/>
    </row>
    <row r="765" spans="1:26" x14ac:dyDescent="0.35">
      <c r="A765" s="49"/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27"/>
      <c r="X765" s="50"/>
      <c r="Y765" s="49"/>
      <c r="Z765" s="50"/>
    </row>
    <row r="766" spans="1:26" x14ac:dyDescent="0.35">
      <c r="A766" s="49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50"/>
      <c r="Y766" s="49"/>
      <c r="Z766" s="50"/>
    </row>
    <row r="767" spans="1:26" x14ac:dyDescent="0.35">
      <c r="A767" s="49"/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50"/>
      <c r="Y767" s="49"/>
      <c r="Z767" s="50"/>
    </row>
    <row r="768" spans="1:26" x14ac:dyDescent="0.35">
      <c r="A768" s="49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27"/>
      <c r="X768" s="50"/>
      <c r="Y768" s="49"/>
      <c r="Z768" s="50"/>
    </row>
    <row r="769" spans="1:26" x14ac:dyDescent="0.35">
      <c r="A769" s="49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50"/>
      <c r="Y769" s="49"/>
      <c r="Z769" s="50"/>
    </row>
    <row r="770" spans="1:26" x14ac:dyDescent="0.35">
      <c r="A770" s="49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50"/>
      <c r="Y770" s="49"/>
      <c r="Z770" s="50"/>
    </row>
    <row r="771" spans="1:26" x14ac:dyDescent="0.35">
      <c r="A771" s="49"/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50"/>
      <c r="Y771" s="49"/>
      <c r="Z771" s="50"/>
    </row>
    <row r="772" spans="1:26" x14ac:dyDescent="0.35">
      <c r="A772" s="49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50"/>
      <c r="Y772" s="49"/>
      <c r="Z772" s="50"/>
    </row>
    <row r="773" spans="1:26" x14ac:dyDescent="0.35">
      <c r="A773" s="49"/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50"/>
      <c r="Y773" s="49"/>
      <c r="Z773" s="50"/>
    </row>
    <row r="774" spans="1:26" x14ac:dyDescent="0.35">
      <c r="A774" s="49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50"/>
      <c r="Y774" s="49"/>
      <c r="Z774" s="50"/>
    </row>
    <row r="775" spans="1:26" x14ac:dyDescent="0.35">
      <c r="A775" s="49"/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50"/>
      <c r="Y775" s="49"/>
      <c r="Z775" s="50"/>
    </row>
    <row r="776" spans="1:26" x14ac:dyDescent="0.35">
      <c r="A776" s="49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50"/>
      <c r="Y776" s="49"/>
      <c r="Z776" s="50"/>
    </row>
    <row r="777" spans="1:26" x14ac:dyDescent="0.35">
      <c r="A777" s="49"/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50"/>
      <c r="Y777" s="49"/>
      <c r="Z777" s="50"/>
    </row>
    <row r="778" spans="1:26" x14ac:dyDescent="0.35">
      <c r="A778" s="49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50"/>
      <c r="Y778" s="49"/>
      <c r="Z778" s="50"/>
    </row>
    <row r="779" spans="1:26" x14ac:dyDescent="0.35">
      <c r="A779" s="49"/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50"/>
      <c r="Y779" s="49"/>
      <c r="Z779" s="50"/>
    </row>
    <row r="780" spans="1:26" x14ac:dyDescent="0.35">
      <c r="A780" s="49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50"/>
      <c r="Y780" s="49"/>
      <c r="Z780" s="50"/>
    </row>
    <row r="781" spans="1:26" x14ac:dyDescent="0.35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50"/>
      <c r="Y781" s="49"/>
      <c r="Z781" s="50"/>
    </row>
    <row r="782" spans="1:26" x14ac:dyDescent="0.35">
      <c r="A782" s="49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50"/>
      <c r="Y782" s="49"/>
      <c r="Z782" s="50"/>
    </row>
    <row r="783" spans="1:26" x14ac:dyDescent="0.35">
      <c r="A783" s="49"/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50"/>
      <c r="Y783" s="49"/>
      <c r="Z783" s="50"/>
    </row>
    <row r="784" spans="1:26" x14ac:dyDescent="0.35">
      <c r="A784" s="49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50"/>
      <c r="Y784" s="49"/>
      <c r="Z784" s="50"/>
    </row>
    <row r="785" spans="1:26" x14ac:dyDescent="0.35">
      <c r="A785" s="49"/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50"/>
      <c r="Y785" s="49"/>
      <c r="Z785" s="50"/>
    </row>
    <row r="786" spans="1:26" x14ac:dyDescent="0.35">
      <c r="A786" s="49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50"/>
      <c r="Y786" s="49"/>
      <c r="Z786" s="50"/>
    </row>
    <row r="787" spans="1:26" x14ac:dyDescent="0.35">
      <c r="A787" s="49"/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50"/>
      <c r="Y787" s="49"/>
      <c r="Z787" s="50"/>
    </row>
    <row r="788" spans="1:26" x14ac:dyDescent="0.35">
      <c r="A788" s="49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50"/>
      <c r="Y788" s="49"/>
      <c r="Z788" s="50"/>
    </row>
    <row r="789" spans="1:26" x14ac:dyDescent="0.35">
      <c r="A789" s="49"/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50"/>
      <c r="Y789" s="49"/>
      <c r="Z789" s="50"/>
    </row>
    <row r="790" spans="1:26" x14ac:dyDescent="0.35">
      <c r="A790" s="49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50"/>
      <c r="Y790" s="49"/>
      <c r="Z790" s="50"/>
    </row>
    <row r="791" spans="1:26" x14ac:dyDescent="0.35">
      <c r="A791" s="49"/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50"/>
      <c r="Y791" s="49"/>
      <c r="Z791" s="50"/>
    </row>
    <row r="792" spans="1:26" x14ac:dyDescent="0.35">
      <c r="A792" s="49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50"/>
      <c r="Y792" s="49"/>
      <c r="Z792" s="50"/>
    </row>
    <row r="793" spans="1:26" x14ac:dyDescent="0.35">
      <c r="A793" s="49"/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50"/>
      <c r="Y793" s="49"/>
      <c r="Z793" s="50"/>
    </row>
    <row r="794" spans="1:26" x14ac:dyDescent="0.35">
      <c r="A794" s="49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50"/>
      <c r="Y794" s="49"/>
      <c r="Z794" s="50"/>
    </row>
    <row r="795" spans="1:26" x14ac:dyDescent="0.35">
      <c r="A795" s="49"/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50"/>
      <c r="Y795" s="49"/>
      <c r="Z795" s="50"/>
    </row>
    <row r="796" spans="1:26" x14ac:dyDescent="0.35">
      <c r="A796" s="49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50"/>
      <c r="Y796" s="49"/>
      <c r="Z796" s="50"/>
    </row>
    <row r="797" spans="1:26" x14ac:dyDescent="0.35">
      <c r="A797" s="49"/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50"/>
      <c r="Y797" s="49"/>
      <c r="Z797" s="50"/>
    </row>
    <row r="798" spans="1:26" x14ac:dyDescent="0.35">
      <c r="A798" s="49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27"/>
      <c r="X798" s="50"/>
      <c r="Y798" s="49"/>
      <c r="Z798" s="50"/>
    </row>
    <row r="799" spans="1:26" x14ac:dyDescent="0.35">
      <c r="A799" s="49"/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50"/>
      <c r="Y799" s="49"/>
      <c r="Z799" s="50"/>
    </row>
    <row r="800" spans="1:26" x14ac:dyDescent="0.35">
      <c r="A800" s="49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50"/>
      <c r="Y800" s="49"/>
      <c r="Z800" s="50"/>
    </row>
    <row r="801" spans="1:26" x14ac:dyDescent="0.35">
      <c r="A801" s="49"/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50"/>
      <c r="Y801" s="49"/>
      <c r="Z801" s="50"/>
    </row>
    <row r="802" spans="1:26" x14ac:dyDescent="0.35">
      <c r="A802" s="49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50"/>
      <c r="Y802" s="49"/>
      <c r="Z802" s="50"/>
    </row>
    <row r="803" spans="1:26" x14ac:dyDescent="0.35">
      <c r="A803" s="49"/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50"/>
      <c r="Y803" s="49"/>
      <c r="Z803" s="50"/>
    </row>
    <row r="804" spans="1:26" x14ac:dyDescent="0.35">
      <c r="A804" s="49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50"/>
      <c r="Y804" s="49"/>
      <c r="Z804" s="50"/>
    </row>
    <row r="805" spans="1:26" x14ac:dyDescent="0.35">
      <c r="A805" s="49"/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50"/>
      <c r="Y805" s="49"/>
      <c r="Z805" s="50"/>
    </row>
    <row r="806" spans="1:26" x14ac:dyDescent="0.35">
      <c r="A806" s="49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50"/>
      <c r="Y806" s="49"/>
      <c r="Z806" s="50"/>
    </row>
    <row r="807" spans="1:26" x14ac:dyDescent="0.35">
      <c r="A807" s="49"/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50"/>
      <c r="Y807" s="49"/>
      <c r="Z807" s="50"/>
    </row>
    <row r="808" spans="1:26" x14ac:dyDescent="0.35">
      <c r="A808" s="49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50"/>
      <c r="Y808" s="49"/>
      <c r="Z808" s="50"/>
    </row>
    <row r="809" spans="1:26" x14ac:dyDescent="0.35">
      <c r="A809" s="49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50"/>
      <c r="Y809" s="49"/>
      <c r="Z809" s="50"/>
    </row>
    <row r="810" spans="1:26" x14ac:dyDescent="0.35">
      <c r="A810" s="49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50"/>
      <c r="Y810" s="49"/>
      <c r="Z810" s="50"/>
    </row>
    <row r="811" spans="1:26" x14ac:dyDescent="0.35">
      <c r="A811" s="49"/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50"/>
      <c r="Y811" s="49"/>
      <c r="Z811" s="50"/>
    </row>
    <row r="812" spans="1:26" x14ac:dyDescent="0.35">
      <c r="A812" s="49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50"/>
      <c r="Y812" s="49"/>
      <c r="Z812" s="50"/>
    </row>
    <row r="813" spans="1:26" x14ac:dyDescent="0.35">
      <c r="A813" s="49"/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50"/>
      <c r="Y813" s="49"/>
      <c r="Z813" s="50"/>
    </row>
    <row r="814" spans="1:26" x14ac:dyDescent="0.35">
      <c r="A814" s="49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50"/>
      <c r="Y814" s="49"/>
      <c r="Z814" s="50"/>
    </row>
    <row r="815" spans="1:26" x14ac:dyDescent="0.35">
      <c r="A815" s="49"/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50"/>
      <c r="Y815" s="49"/>
      <c r="Z815" s="50"/>
    </row>
    <row r="816" spans="1:26" x14ac:dyDescent="0.35">
      <c r="A816" s="49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50"/>
      <c r="Y816" s="49"/>
      <c r="Z816" s="50"/>
    </row>
    <row r="817" spans="1:26" x14ac:dyDescent="0.35">
      <c r="A817" s="49"/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50"/>
      <c r="Y817" s="49"/>
      <c r="Z817" s="50"/>
    </row>
    <row r="818" spans="1:26" x14ac:dyDescent="0.35">
      <c r="A818" s="49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50"/>
      <c r="Y818" s="49"/>
      <c r="Z818" s="50"/>
    </row>
    <row r="819" spans="1:26" x14ac:dyDescent="0.35">
      <c r="A819" s="49"/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50"/>
      <c r="Y819" s="49"/>
      <c r="Z819" s="50"/>
    </row>
    <row r="820" spans="1:26" x14ac:dyDescent="0.35">
      <c r="A820" s="49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50"/>
      <c r="Y820" s="49"/>
      <c r="Z820" s="50"/>
    </row>
    <row r="821" spans="1:26" x14ac:dyDescent="0.35">
      <c r="A821" s="49"/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50"/>
      <c r="Y821" s="49"/>
      <c r="Z821" s="50"/>
    </row>
    <row r="822" spans="1:26" x14ac:dyDescent="0.35">
      <c r="A822" s="49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50"/>
      <c r="Y822" s="49"/>
      <c r="Z822" s="50"/>
    </row>
    <row r="823" spans="1:26" x14ac:dyDescent="0.35">
      <c r="A823" s="49"/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50"/>
      <c r="Y823" s="49"/>
      <c r="Z823" s="50"/>
    </row>
    <row r="824" spans="1:26" x14ac:dyDescent="0.35">
      <c r="A824" s="49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50"/>
      <c r="Y824" s="49"/>
      <c r="Z824" s="50"/>
    </row>
    <row r="825" spans="1:26" x14ac:dyDescent="0.35">
      <c r="A825" s="49"/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50"/>
      <c r="Y825" s="49"/>
      <c r="Z825" s="50"/>
    </row>
    <row r="826" spans="1:26" x14ac:dyDescent="0.35">
      <c r="A826" s="49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50"/>
      <c r="Y826" s="49"/>
      <c r="Z826" s="50"/>
    </row>
    <row r="827" spans="1:26" x14ac:dyDescent="0.35">
      <c r="A827" s="49"/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50"/>
      <c r="Y827" s="49"/>
      <c r="Z827" s="50"/>
    </row>
    <row r="828" spans="1:26" x14ac:dyDescent="0.35">
      <c r="A828" s="49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50"/>
      <c r="Y828" s="49"/>
      <c r="Z828" s="50"/>
    </row>
    <row r="829" spans="1:26" x14ac:dyDescent="0.35">
      <c r="A829" s="52"/>
      <c r="B829" s="49"/>
      <c r="C829" s="49"/>
      <c r="D829" s="49"/>
      <c r="E829" s="52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50"/>
      <c r="Y829" s="52"/>
      <c r="Z829" s="50"/>
    </row>
    <row r="830" spans="1:26" x14ac:dyDescent="0.35">
      <c r="A830" s="52"/>
      <c r="B830" s="49"/>
      <c r="C830" s="49"/>
      <c r="D830" s="49"/>
      <c r="E830" s="52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50"/>
      <c r="Y830" s="52"/>
      <c r="Z830" s="50"/>
    </row>
    <row r="831" spans="1:26" x14ac:dyDescent="0.35">
      <c r="A831" s="52"/>
      <c r="B831" s="49"/>
      <c r="C831" s="49"/>
      <c r="D831" s="49"/>
      <c r="E831" s="52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50"/>
      <c r="Y831" s="52"/>
      <c r="Z831" s="50"/>
    </row>
    <row r="832" spans="1:26" x14ac:dyDescent="0.35">
      <c r="A832" s="52"/>
      <c r="B832" s="49"/>
      <c r="C832" s="49"/>
      <c r="D832" s="49"/>
      <c r="E832" s="52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50"/>
      <c r="Y832" s="52"/>
      <c r="Z832" s="50"/>
    </row>
    <row r="833" spans="1:26" x14ac:dyDescent="0.35">
      <c r="A833" s="52"/>
      <c r="B833" s="49"/>
      <c r="C833" s="49"/>
      <c r="D833" s="49"/>
      <c r="E833" s="52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50"/>
      <c r="Y833" s="52"/>
      <c r="Z833" s="50"/>
    </row>
    <row r="834" spans="1:26" x14ac:dyDescent="0.35">
      <c r="A834" s="52"/>
      <c r="B834" s="49"/>
      <c r="C834" s="49"/>
      <c r="D834" s="49"/>
      <c r="E834" s="52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50"/>
      <c r="Y834" s="52"/>
      <c r="Z834" s="50"/>
    </row>
    <row r="835" spans="1:26" x14ac:dyDescent="0.35">
      <c r="A835" s="52"/>
      <c r="B835" s="49"/>
      <c r="C835" s="49"/>
      <c r="D835" s="49"/>
      <c r="E835" s="52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50"/>
      <c r="Y835" s="52"/>
      <c r="Z835" s="50"/>
    </row>
    <row r="836" spans="1:26" x14ac:dyDescent="0.35">
      <c r="A836" s="52"/>
      <c r="B836" s="49"/>
      <c r="C836" s="49"/>
      <c r="D836" s="49"/>
      <c r="E836" s="52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50"/>
      <c r="Y836" s="52"/>
      <c r="Z836" s="50"/>
    </row>
    <row r="837" spans="1:26" x14ac:dyDescent="0.35">
      <c r="A837" s="52"/>
      <c r="B837" s="49"/>
      <c r="C837" s="49"/>
      <c r="D837" s="49"/>
      <c r="E837" s="52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50"/>
      <c r="Y837" s="52"/>
      <c r="Z837" s="50"/>
    </row>
    <row r="838" spans="1:26" x14ac:dyDescent="0.35">
      <c r="A838" s="52"/>
      <c r="B838" s="49"/>
      <c r="C838" s="49"/>
      <c r="D838" s="49"/>
      <c r="E838" s="52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50"/>
      <c r="Y838" s="52"/>
      <c r="Z838" s="50"/>
    </row>
    <row r="839" spans="1:26" x14ac:dyDescent="0.35">
      <c r="A839" s="52"/>
      <c r="B839" s="49"/>
      <c r="C839" s="49"/>
      <c r="D839" s="49"/>
      <c r="E839" s="52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50"/>
      <c r="Y839" s="52"/>
      <c r="Z839" s="50"/>
    </row>
    <row r="840" spans="1:26" x14ac:dyDescent="0.35">
      <c r="A840" s="52"/>
      <c r="B840" s="49"/>
      <c r="C840" s="49"/>
      <c r="D840" s="49"/>
      <c r="E840" s="52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50"/>
      <c r="Y840" s="52"/>
      <c r="Z840" s="50"/>
    </row>
    <row r="841" spans="1:26" x14ac:dyDescent="0.35">
      <c r="A841" s="52"/>
      <c r="B841" s="49"/>
      <c r="C841" s="49"/>
      <c r="D841" s="49"/>
      <c r="E841" s="52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50"/>
      <c r="Y841" s="52"/>
      <c r="Z841" s="50"/>
    </row>
    <row r="842" spans="1:26" x14ac:dyDescent="0.35">
      <c r="A842" s="52"/>
      <c r="B842" s="49"/>
      <c r="C842" s="49"/>
      <c r="D842" s="49"/>
      <c r="E842" s="52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50"/>
      <c r="Y842" s="52"/>
      <c r="Z842" s="50"/>
    </row>
    <row r="843" spans="1:26" x14ac:dyDescent="0.35">
      <c r="A843" s="52"/>
      <c r="B843" s="49"/>
      <c r="C843" s="49"/>
      <c r="D843" s="49"/>
      <c r="E843" s="52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50"/>
      <c r="Y843" s="52"/>
      <c r="Z843" s="50"/>
    </row>
    <row r="844" spans="1:26" x14ac:dyDescent="0.35">
      <c r="A844" s="52"/>
      <c r="B844" s="49"/>
      <c r="C844" s="49"/>
      <c r="D844" s="49"/>
      <c r="E844" s="52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50"/>
      <c r="Y844" s="52"/>
      <c r="Z844" s="50"/>
    </row>
    <row r="845" spans="1:26" x14ac:dyDescent="0.35">
      <c r="A845" s="52"/>
      <c r="B845" s="49"/>
      <c r="C845" s="49"/>
      <c r="D845" s="49"/>
      <c r="E845" s="52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50"/>
      <c r="Y845" s="52"/>
      <c r="Z845" s="50"/>
    </row>
    <row r="846" spans="1:26" x14ac:dyDescent="0.35">
      <c r="A846" s="52"/>
      <c r="B846" s="49"/>
      <c r="C846" s="49"/>
      <c r="D846" s="49"/>
      <c r="E846" s="52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50"/>
      <c r="Y846" s="52"/>
      <c r="Z846" s="50"/>
    </row>
    <row r="847" spans="1:26" x14ac:dyDescent="0.35">
      <c r="A847" s="52"/>
      <c r="B847" s="49"/>
      <c r="C847" s="49"/>
      <c r="D847" s="49"/>
      <c r="E847" s="52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50"/>
      <c r="Y847" s="52"/>
      <c r="Z847" s="50"/>
    </row>
    <row r="848" spans="1:26" x14ac:dyDescent="0.35">
      <c r="A848" s="52"/>
      <c r="B848" s="49"/>
      <c r="C848" s="49"/>
      <c r="D848" s="49"/>
      <c r="E848" s="52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50"/>
      <c r="Y848" s="52"/>
      <c r="Z848" s="50"/>
    </row>
    <row r="849" spans="1:26" x14ac:dyDescent="0.35">
      <c r="A849" s="52"/>
      <c r="B849" s="49"/>
      <c r="C849" s="49"/>
      <c r="D849" s="49"/>
      <c r="E849" s="52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50"/>
      <c r="Y849" s="52"/>
      <c r="Z849" s="50"/>
    </row>
    <row r="850" spans="1:26" x14ac:dyDescent="0.35">
      <c r="A850" s="52"/>
      <c r="B850" s="49"/>
      <c r="C850" s="49"/>
      <c r="D850" s="49"/>
      <c r="E850" s="52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50"/>
      <c r="Y850" s="52"/>
      <c r="Z850" s="50"/>
    </row>
    <row r="851" spans="1:26" x14ac:dyDescent="0.35">
      <c r="A851" s="52"/>
      <c r="B851" s="49"/>
      <c r="C851" s="49"/>
      <c r="D851" s="49"/>
      <c r="E851" s="52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50"/>
      <c r="Y851" s="52"/>
      <c r="Z851" s="50"/>
    </row>
    <row r="852" spans="1:26" x14ac:dyDescent="0.35">
      <c r="A852" s="52"/>
      <c r="B852" s="49"/>
      <c r="C852" s="49"/>
      <c r="D852" s="49"/>
      <c r="E852" s="52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50"/>
      <c r="Y852" s="52"/>
      <c r="Z852" s="50"/>
    </row>
    <row r="853" spans="1:26" x14ac:dyDescent="0.35">
      <c r="A853" s="52"/>
      <c r="B853" s="49"/>
      <c r="C853" s="49"/>
      <c r="D853" s="49"/>
      <c r="E853" s="52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50"/>
      <c r="Y853" s="52"/>
      <c r="Z853" s="50"/>
    </row>
    <row r="854" spans="1:26" x14ac:dyDescent="0.35">
      <c r="A854" s="52"/>
      <c r="B854" s="49"/>
      <c r="C854" s="49"/>
      <c r="D854" s="49"/>
      <c r="E854" s="52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50"/>
      <c r="Y854" s="52"/>
      <c r="Z854" s="50"/>
    </row>
    <row r="855" spans="1:26" x14ac:dyDescent="0.35">
      <c r="A855" s="52"/>
      <c r="B855" s="49"/>
      <c r="C855" s="49"/>
      <c r="D855" s="49"/>
      <c r="E855" s="52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50"/>
      <c r="Y855" s="52"/>
      <c r="Z855" s="50"/>
    </row>
    <row r="856" spans="1:26" x14ac:dyDescent="0.35">
      <c r="A856" s="52"/>
      <c r="B856" s="49"/>
      <c r="C856" s="49"/>
      <c r="D856" s="49"/>
      <c r="E856" s="52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50"/>
      <c r="Y856" s="52"/>
      <c r="Z856" s="50"/>
    </row>
    <row r="857" spans="1:26" x14ac:dyDescent="0.35">
      <c r="A857" s="52"/>
      <c r="B857" s="49"/>
      <c r="C857" s="49"/>
      <c r="D857" s="49"/>
      <c r="E857" s="52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50"/>
      <c r="Y857" s="52"/>
      <c r="Z857" s="50"/>
    </row>
    <row r="858" spans="1:26" x14ac:dyDescent="0.35">
      <c r="A858" s="52"/>
      <c r="B858" s="49"/>
      <c r="C858" s="49"/>
      <c r="D858" s="49"/>
      <c r="E858" s="52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50"/>
      <c r="Y858" s="52"/>
      <c r="Z858" s="50"/>
    </row>
    <row r="859" spans="1:26" x14ac:dyDescent="0.35">
      <c r="A859" s="52"/>
      <c r="B859" s="49"/>
      <c r="C859" s="49"/>
      <c r="D859" s="49"/>
      <c r="E859" s="52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50"/>
      <c r="Y859" s="52"/>
      <c r="Z859" s="50"/>
    </row>
    <row r="860" spans="1:26" x14ac:dyDescent="0.35">
      <c r="A860" s="52"/>
      <c r="B860" s="49"/>
      <c r="C860" s="49"/>
      <c r="D860" s="49"/>
      <c r="E860" s="52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50"/>
      <c r="Y860" s="52"/>
      <c r="Z860" s="50"/>
    </row>
    <row r="861" spans="1:26" x14ac:dyDescent="0.35">
      <c r="A861" s="52"/>
      <c r="B861" s="49"/>
      <c r="C861" s="49"/>
      <c r="D861" s="49"/>
      <c r="E861" s="52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50"/>
      <c r="Y861" s="52"/>
      <c r="Z861" s="50"/>
    </row>
    <row r="862" spans="1:26" x14ac:dyDescent="0.35">
      <c r="A862" s="52"/>
      <c r="B862" s="49"/>
      <c r="C862" s="49"/>
      <c r="D862" s="49"/>
      <c r="E862" s="52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50"/>
      <c r="Y862" s="52"/>
      <c r="Z862" s="50"/>
    </row>
    <row r="863" spans="1:26" x14ac:dyDescent="0.35">
      <c r="A863" s="52"/>
      <c r="B863" s="49"/>
      <c r="C863" s="49"/>
      <c r="D863" s="49"/>
      <c r="E863" s="52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50"/>
      <c r="Y863" s="52"/>
      <c r="Z863" s="50"/>
    </row>
    <row r="864" spans="1:26" x14ac:dyDescent="0.35">
      <c r="A864" s="52"/>
      <c r="B864" s="49"/>
      <c r="C864" s="49"/>
      <c r="D864" s="49"/>
      <c r="E864" s="52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50"/>
      <c r="Y864" s="52"/>
      <c r="Z864" s="50"/>
    </row>
    <row r="865" spans="1:26" x14ac:dyDescent="0.35">
      <c r="A865" s="52"/>
      <c r="B865" s="49"/>
      <c r="C865" s="49"/>
      <c r="D865" s="49"/>
      <c r="E865" s="52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50"/>
      <c r="Y865" s="52"/>
      <c r="Z865" s="50"/>
    </row>
    <row r="866" spans="1:26" x14ac:dyDescent="0.35">
      <c r="A866" s="52"/>
      <c r="B866" s="49"/>
      <c r="C866" s="49"/>
      <c r="D866" s="49"/>
      <c r="E866" s="52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50"/>
      <c r="Y866" s="52"/>
      <c r="Z866" s="50"/>
    </row>
    <row r="867" spans="1:26" x14ac:dyDescent="0.35">
      <c r="A867" s="52"/>
      <c r="B867" s="49"/>
      <c r="C867" s="49"/>
      <c r="D867" s="49"/>
      <c r="E867" s="52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50"/>
      <c r="Y867" s="52"/>
      <c r="Z867" s="50"/>
    </row>
    <row r="868" spans="1:26" x14ac:dyDescent="0.35">
      <c r="A868" s="52"/>
      <c r="B868" s="49"/>
      <c r="C868" s="49"/>
      <c r="D868" s="49"/>
      <c r="E868" s="52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50"/>
      <c r="Y868" s="52"/>
      <c r="Z868" s="50"/>
    </row>
    <row r="869" spans="1:26" x14ac:dyDescent="0.35">
      <c r="A869" s="52"/>
      <c r="B869" s="49"/>
      <c r="C869" s="49"/>
      <c r="D869" s="49"/>
      <c r="E869" s="52"/>
      <c r="F869" s="49"/>
      <c r="G869" s="49"/>
      <c r="H869" s="49"/>
      <c r="I869" s="49"/>
      <c r="J869" s="49"/>
      <c r="K869" s="49"/>
      <c r="L869" s="49"/>
      <c r="M869" s="49"/>
      <c r="N869" s="59"/>
      <c r="O869" s="59"/>
      <c r="P869" s="49"/>
      <c r="Q869" s="49"/>
      <c r="R869" s="49"/>
      <c r="S869" s="49"/>
      <c r="T869" s="49"/>
      <c r="U869" s="49"/>
      <c r="V869" s="49"/>
      <c r="W869" s="49"/>
      <c r="X869" s="50"/>
      <c r="Y869" s="52"/>
      <c r="Z869" s="50"/>
    </row>
    <row r="870" spans="1:26" x14ac:dyDescent="0.35">
      <c r="A870" s="52"/>
      <c r="B870" s="49"/>
      <c r="C870" s="49"/>
      <c r="D870" s="49"/>
      <c r="E870" s="52"/>
      <c r="F870" s="49"/>
      <c r="G870" s="49"/>
      <c r="H870" s="49"/>
      <c r="I870" s="49"/>
      <c r="J870" s="49"/>
      <c r="K870" s="49"/>
      <c r="L870" s="49"/>
      <c r="M870" s="49"/>
      <c r="N870" s="59"/>
      <c r="O870" s="59"/>
      <c r="P870" s="49"/>
      <c r="Q870" s="49"/>
      <c r="R870" s="49"/>
      <c r="S870" s="49"/>
      <c r="T870" s="49"/>
      <c r="U870" s="49"/>
      <c r="V870" s="49"/>
      <c r="W870" s="49"/>
      <c r="X870" s="50"/>
      <c r="Y870" s="52"/>
      <c r="Z870" s="50"/>
    </row>
  </sheetData>
  <autoFilter ref="A2:Z870" xr:uid="{00000000-0009-0000-0000-000007000000}"/>
  <conditionalFormatting sqref="C3:C413 C415:C685">
    <cfRule type="duplicateValues" dxfId="1" priority="14"/>
  </conditionalFormatting>
  <conditionalFormatting sqref="C414">
    <cfRule type="duplicateValues" dxfId="0" priority="10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1:E5"/>
  <sheetViews>
    <sheetView zoomScale="70" zoomScaleNormal="70" workbookViewId="0">
      <selection activeCell="C11" sqref="C11"/>
    </sheetView>
  </sheetViews>
  <sheetFormatPr baseColWidth="10" defaultColWidth="11.36328125" defaultRowHeight="14.5" x14ac:dyDescent="0.35"/>
  <cols>
    <col min="1" max="1" width="46.6328125" style="20" customWidth="1"/>
    <col min="2" max="2" width="19.81640625" style="20" bestFit="1" customWidth="1"/>
    <col min="3" max="3" width="33" style="20" bestFit="1" customWidth="1"/>
    <col min="4" max="4" width="22.08984375" style="20" bestFit="1" customWidth="1"/>
    <col min="5" max="5" width="23.08984375" style="20" bestFit="1" customWidth="1"/>
    <col min="6" max="16384" width="11.36328125" style="20"/>
  </cols>
  <sheetData>
    <row r="1" spans="1:5" x14ac:dyDescent="0.35">
      <c r="A1" s="29" t="s">
        <v>62</v>
      </c>
      <c r="B1" s="29" t="s">
        <v>245</v>
      </c>
      <c r="C1" s="29" t="s">
        <v>251</v>
      </c>
      <c r="D1" s="29" t="s">
        <v>246</v>
      </c>
      <c r="E1" s="29" t="s">
        <v>247</v>
      </c>
    </row>
    <row r="2" spans="1:5" x14ac:dyDescent="0.35">
      <c r="A2" s="49" t="s">
        <v>299</v>
      </c>
      <c r="B2" s="36">
        <f>'Resumen acumulado'!AE4</f>
        <v>5</v>
      </c>
      <c r="C2" s="36">
        <f>COUNTIFS('Call Tree HRE 2018'!$G$2:$G$283,"4h",'Call Tree HRE 2018'!$C$2:$C$283,A2,'Call Tree HRE 2018'!$P$2:$P$283,"Portatil")+COUNTIFS('Call Tree HRE 2018'!$G$2:$G$283,"24h",'Call Tree HRE 2018'!$C$2:$C$283,A2,'Call Tree HRE 2018'!$P$2:$P$283,"Portatil")+COUNTIFS('Call Tree HRE 2018'!$G$2:$G$283,"48h",'Call Tree HRE 2018'!$C$2:$C$283,A2,'Call Tree HRE 2018'!$P$2:$P$283,"Portatil")+COUNTIFS('Call Tree HRE 2018'!$G$2:$G$283,"1s",'Call Tree HRE 2018'!$C$2:$C$283,A2,'Call Tree HRE 2018'!$P$2:$P$283,"Portatil")+COUNTIFS('Call Tree HRE 2018'!$G$2:$G$283,"2s",'Call Tree HRE 2018'!$C$2:$C$283,A2,'Call Tree HRE 2018'!$P$2:$P$283,"Portatil")+COUNTIFS('Call Tree HRE 2018'!$G$2:$G$283,"4h",'Call Tree HRE 2018'!$C$2:$C$283,A2,'Call Tree HRE 2018'!$P$2:$P$283,"Tablet")+COUNTIFS('Call Tree HRE 2018'!$G$2:$G$283,"24h",'Call Tree HRE 2018'!$C$2:$C$283,A2,'Call Tree HRE 2018'!$P$2:$P$283,"Tablet")+COUNTIFS('Call Tree HRE 2018'!$G$2:$G$283,"48h",'Call Tree HRE 2018'!$C$2:$C$283,A2,'Call Tree HRE 2018'!$P$2:$P$283,"Tablet")+COUNTIFS('Call Tree HRE 2018'!$G$2:$G$283,"1s",'Call Tree HRE 2018'!$C$2:$C$283,A2,'Call Tree HRE 2018'!$P$2:$P$283,"Tablet")+COUNTIFS('Call Tree HRE 2018'!$G$2:$G$283,"2s",'Call Tree HRE 2018'!$C$2:$C$283,A2,'Call Tree HRE 2018'!$P$2:$P$283,"Tablet")</f>
        <v>5</v>
      </c>
      <c r="D2" s="36">
        <f>COUNTIFS('Call Tree HRE 2018'!$G$2:$G$283,"4h",'Call Tree HRE 2018'!$C$2:$C$283,A2,'Call Tree HRE 2018'!$Q$2:$Q$283,"Sí")+COUNTIFS('Call Tree HRE 2018'!$G$2:$G$283,"24h",'Call Tree HRE 2018'!$C$2:$C$283,A2,'Call Tree HRE 2018'!$Q$2:$Q$283,"Sí")+COUNTIFS('Call Tree HRE 2018'!$G$2:$G$283,"48h",'Call Tree HRE 2018'!$C$2:$C$283,A2,'Call Tree HRE 2018'!$Q$2:$Q$283,"Sí")+COUNTIFS('Call Tree HRE 2018'!$G$2:$G$283,"1s",'Call Tree HRE 2018'!$C$2:$C$283,A2,'Call Tree HRE 2018'!$Q$2:$Q$283,"Sí")+COUNTIFS('Call Tree HRE 2018'!$G$2:$G$283,"2s",'Call Tree HRE 2018'!$C$2:$C$283,A2,'Call Tree HRE 2018'!$Q$2:$Q$283,"Sí")</f>
        <v>5</v>
      </c>
      <c r="E2" s="36">
        <f>COUNTIFS('Call Tree HRE 2018'!$G$2:$G$283,"4h",'Call Tree HRE 2018'!$C$2:$C$283,A2,'Call Tree HRE 2018'!$R$2:$R$283,"Sí")+COUNTIFS('Call Tree HRE 2018'!$G$2:$G$283,"24h",'Call Tree HRE 2018'!$C$2:$C$283,A2,'Call Tree HRE 2018'!$R$2:$R$283,"Sí")+COUNTIFS('Call Tree HRE 2018'!$G$2:$G$283,"48h",'Call Tree HRE 2018'!$C$2:$C$283,A2,'Call Tree HRE 2018'!$R$2:$R$283,"Sí")+COUNTIFS('Call Tree HRE 2018'!$G$2:$G$283,"1s",'Call Tree HRE 2018'!$C$2:$C$283,A2,'Call Tree HRE 2018'!$R$2:$R$283,"Sí")+COUNTIFS('Call Tree HRE 2018'!$G$2:$G$283,"2s",'Call Tree HRE 2018'!$C$2:$C$283,A2,'Call Tree HRE 2018'!$R$2:$R$283,"Sí")</f>
        <v>5</v>
      </c>
    </row>
    <row r="3" spans="1:5" x14ac:dyDescent="0.35">
      <c r="A3" s="49" t="s">
        <v>300</v>
      </c>
      <c r="B3" s="36">
        <f>'Resumen acumulado'!AE5</f>
        <v>4</v>
      </c>
      <c r="C3" s="36">
        <f>COUNTIFS('Call Tree HRE 2018'!$G$2:$G$283,"4h",'Call Tree HRE 2018'!$C$2:$C$283,A3,'Call Tree HRE 2018'!$P$2:$P$283,"Portatil")+COUNTIFS('Call Tree HRE 2018'!$G$2:$G$283,"24h",'Call Tree HRE 2018'!$C$2:$C$283,A3,'Call Tree HRE 2018'!$P$2:$P$283,"Portatil")+COUNTIFS('Call Tree HRE 2018'!$G$2:$G$283,"48h",'Call Tree HRE 2018'!$C$2:$C$283,A3,'Call Tree HRE 2018'!$P$2:$P$283,"Portatil")+COUNTIFS('Call Tree HRE 2018'!$G$2:$G$283,"1s",'Call Tree HRE 2018'!$C$2:$C$283,A3,'Call Tree HRE 2018'!$P$2:$P$283,"Portatil")+COUNTIFS('Call Tree HRE 2018'!$G$2:$G$283,"2s",'Call Tree HRE 2018'!$C$2:$C$283,A3,'Call Tree HRE 2018'!$P$2:$P$283,"Portatil")+COUNTIFS('Call Tree HRE 2018'!$G$2:$G$283,"4h",'Call Tree HRE 2018'!$C$2:$C$283,A3,'Call Tree HRE 2018'!$P$2:$P$283,"Tablet")+COUNTIFS('Call Tree HRE 2018'!$G$2:$G$283,"24h",'Call Tree HRE 2018'!$C$2:$C$283,A3,'Call Tree HRE 2018'!$P$2:$P$283,"Tablet")+COUNTIFS('Call Tree HRE 2018'!$G$2:$G$283,"48h",'Call Tree HRE 2018'!$C$2:$C$283,A3,'Call Tree HRE 2018'!$P$2:$P$283,"Tablet")+COUNTIFS('Call Tree HRE 2018'!$G$2:$G$283,"1s",'Call Tree HRE 2018'!$C$2:$C$283,A3,'Call Tree HRE 2018'!$P$2:$P$283,"Tablet")+COUNTIFS('Call Tree HRE 2018'!$G$2:$G$283,"2s",'Call Tree HRE 2018'!$C$2:$C$283,A3,'Call Tree HRE 2018'!$P$2:$P$283,"Tablet")</f>
        <v>4</v>
      </c>
      <c r="D3" s="36">
        <f>COUNTIFS('Call Tree HRE 2018'!$G$2:$G$283,"4h",'Call Tree HRE 2018'!$C$2:$C$283,A3,'Call Tree HRE 2018'!$Q$2:$Q$283,"Sí")+COUNTIFS('Call Tree HRE 2018'!$G$2:$G$283,"24h",'Call Tree HRE 2018'!$C$2:$C$283,A3,'Call Tree HRE 2018'!$Q$2:$Q$283,"Sí")+COUNTIFS('Call Tree HRE 2018'!$G$2:$G$283,"48h",'Call Tree HRE 2018'!$C$2:$C$283,A3,'Call Tree HRE 2018'!$Q$2:$Q$283,"Sí")+COUNTIFS('Call Tree HRE 2018'!$G$2:$G$283,"1s",'Call Tree HRE 2018'!$C$2:$C$283,A3,'Call Tree HRE 2018'!$Q$2:$Q$283,"Sí")+COUNTIFS('Call Tree HRE 2018'!$G$2:$G$283,"2s",'Call Tree HRE 2018'!$C$2:$C$283,A3,'Call Tree HRE 2018'!$Q$2:$Q$283,"Sí")</f>
        <v>4</v>
      </c>
      <c r="E3" s="36">
        <f>COUNTIFS('Call Tree HRE 2018'!$G$2:$G$283,"4h",'Call Tree HRE 2018'!$C$2:$C$283,A3,'Call Tree HRE 2018'!$R$2:$R$283,"Sí")+COUNTIFS('Call Tree HRE 2018'!$G$2:$G$283,"24h",'Call Tree HRE 2018'!$C$2:$C$283,A3,'Call Tree HRE 2018'!$R$2:$R$283,"Sí")+COUNTIFS('Call Tree HRE 2018'!$G$2:$G$283,"48h",'Call Tree HRE 2018'!$C$2:$C$283,A3,'Call Tree HRE 2018'!$R$2:$R$283,"Sí")+COUNTIFS('Call Tree HRE 2018'!$G$2:$G$283,"1s",'Call Tree HRE 2018'!$C$2:$C$283,A3,'Call Tree HRE 2018'!$R$2:$R$283,"Sí")+COUNTIFS('Call Tree HRE 2018'!$G$2:$G$283,"2s",'Call Tree HRE 2018'!$C$2:$C$283,A3,'Call Tree HRE 2018'!$R$2:$R$283,"Sí")</f>
        <v>4</v>
      </c>
    </row>
    <row r="4" spans="1:5" x14ac:dyDescent="0.35">
      <c r="A4" s="49" t="s">
        <v>301</v>
      </c>
      <c r="B4" s="36">
        <f>'Resumen acumulado'!AE6</f>
        <v>10</v>
      </c>
      <c r="C4" s="36">
        <f>COUNTIFS('Call Tree HRE 2018'!$G$2:$G$283,"4h",'Call Tree HRE 2018'!$C$2:$C$283,A4,'Call Tree HRE 2018'!$P$2:$P$283,"Portatil")+COUNTIFS('Call Tree HRE 2018'!$G$2:$G$283,"24h",'Call Tree HRE 2018'!$C$2:$C$283,A4,'Call Tree HRE 2018'!$P$2:$P$283,"Portatil")+COUNTIFS('Call Tree HRE 2018'!$G$2:$G$283,"48h",'Call Tree HRE 2018'!$C$2:$C$283,A4,'Call Tree HRE 2018'!$P$2:$P$283,"Portatil")+COUNTIFS('Call Tree HRE 2018'!$G$2:$G$283,"1s",'Call Tree HRE 2018'!$C$2:$C$283,A4,'Call Tree HRE 2018'!$P$2:$P$283,"Portatil")+COUNTIFS('Call Tree HRE 2018'!$G$2:$G$283,"2s",'Call Tree HRE 2018'!$C$2:$C$283,A4,'Call Tree HRE 2018'!$P$2:$P$283,"Portatil")+COUNTIFS('Call Tree HRE 2018'!$G$2:$G$283,"4h",'Call Tree HRE 2018'!$C$2:$C$283,A4,'Call Tree HRE 2018'!$P$2:$P$283,"Tablet")+COUNTIFS('Call Tree HRE 2018'!$G$2:$G$283,"24h",'Call Tree HRE 2018'!$C$2:$C$283,A4,'Call Tree HRE 2018'!$P$2:$P$283,"Tablet")+COUNTIFS('Call Tree HRE 2018'!$G$2:$G$283,"48h",'Call Tree HRE 2018'!$C$2:$C$283,A4,'Call Tree HRE 2018'!$P$2:$P$283,"Tablet")+COUNTIFS('Call Tree HRE 2018'!$G$2:$G$283,"1s",'Call Tree HRE 2018'!$C$2:$C$283,A4,'Call Tree HRE 2018'!$P$2:$P$283,"Tablet")+COUNTIFS('Call Tree HRE 2018'!$G$2:$G$283,"2s",'Call Tree HRE 2018'!$C$2:$C$283,A4,'Call Tree HRE 2018'!$P$2:$P$283,"Tablet")</f>
        <v>9</v>
      </c>
      <c r="D4" s="36">
        <f>COUNTIFS('Call Tree HRE 2018'!$G$2:$G$283,"4h",'Call Tree HRE 2018'!$C$2:$C$283,A4,'Call Tree HRE 2018'!$Q$2:$Q$283,"Sí")+COUNTIFS('Call Tree HRE 2018'!$G$2:$G$283,"24h",'Call Tree HRE 2018'!$C$2:$C$283,A4,'Call Tree HRE 2018'!$Q$2:$Q$283,"Sí")+COUNTIFS('Call Tree HRE 2018'!$G$2:$G$283,"48h",'Call Tree HRE 2018'!$C$2:$C$283,A4,'Call Tree HRE 2018'!$Q$2:$Q$283,"Sí")+COUNTIFS('Call Tree HRE 2018'!$G$2:$G$283,"1s",'Call Tree HRE 2018'!$C$2:$C$283,A4,'Call Tree HRE 2018'!$Q$2:$Q$283,"Sí")+COUNTIFS('Call Tree HRE 2018'!$G$2:$G$283,"2s",'Call Tree HRE 2018'!$C$2:$C$283,A4,'Call Tree HRE 2018'!$Q$2:$Q$283,"Sí")</f>
        <v>10</v>
      </c>
      <c r="E4" s="36">
        <f>COUNTIFS('Call Tree HRE 2018'!$G$2:$G$283,"4h",'Call Tree HRE 2018'!$C$2:$C$283,A4,'Call Tree HRE 2018'!$R$2:$R$283,"Sí")+COUNTIFS('Call Tree HRE 2018'!$G$2:$G$283,"24h",'Call Tree HRE 2018'!$C$2:$C$283,A4,'Call Tree HRE 2018'!$R$2:$R$283,"Sí")+COUNTIFS('Call Tree HRE 2018'!$G$2:$G$283,"48h",'Call Tree HRE 2018'!$C$2:$C$283,A4,'Call Tree HRE 2018'!$R$2:$R$283,"Sí")+COUNTIFS('Call Tree HRE 2018'!$G$2:$G$283,"1s",'Call Tree HRE 2018'!$C$2:$C$283,A4,'Call Tree HRE 2018'!$R$2:$R$283,"Sí")+COUNTIFS('Call Tree HRE 2018'!$G$2:$G$283,"2s",'Call Tree HRE 2018'!$C$2:$C$283,A4,'Call Tree HRE 2018'!$R$2:$R$283,"Sí")</f>
        <v>10</v>
      </c>
    </row>
    <row r="5" spans="1:5" x14ac:dyDescent="0.35">
      <c r="A5" s="29" t="s">
        <v>62</v>
      </c>
      <c r="B5" s="22">
        <f>SUM(B2:B4)</f>
        <v>19</v>
      </c>
      <c r="C5" s="22">
        <f>SUM(C2:C4)</f>
        <v>18</v>
      </c>
      <c r="D5" s="22">
        <f>SUM(D2:D4)</f>
        <v>19</v>
      </c>
      <c r="E5" s="22">
        <f>SUM(E2:E4)</f>
        <v>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A1:F11"/>
  <sheetViews>
    <sheetView zoomScale="70" zoomScaleNormal="70" workbookViewId="0">
      <pane ySplit="1" topLeftCell="A2" activePane="bottomLeft" state="frozen"/>
      <selection activeCell="C12" sqref="C12"/>
      <selection pane="bottomLeft" activeCell="C1" sqref="C1"/>
    </sheetView>
  </sheetViews>
  <sheetFormatPr baseColWidth="10" defaultColWidth="11.36328125" defaultRowHeight="14.5" x14ac:dyDescent="0.35"/>
  <cols>
    <col min="1" max="1" width="33.36328125" style="58" customWidth="1"/>
    <col min="2" max="2" width="28.81640625" style="58" customWidth="1"/>
    <col min="3" max="3" width="25.08984375" style="58" customWidth="1"/>
    <col min="4" max="4" width="19" style="58" customWidth="1"/>
    <col min="5" max="5" width="15.7265625" style="58" bestFit="1" customWidth="1"/>
    <col min="6" max="6" width="24.36328125" style="58" customWidth="1"/>
    <col min="7" max="16384" width="11.36328125" style="20"/>
  </cols>
  <sheetData>
    <row r="1" spans="1:6" x14ac:dyDescent="0.35">
      <c r="A1" s="29" t="s">
        <v>248</v>
      </c>
      <c r="B1" s="29" t="s">
        <v>249</v>
      </c>
      <c r="C1" s="29" t="s">
        <v>250</v>
      </c>
      <c r="D1" s="29" t="s">
        <v>22</v>
      </c>
      <c r="E1" s="29" t="s">
        <v>4</v>
      </c>
      <c r="F1" s="29" t="s">
        <v>252</v>
      </c>
    </row>
    <row r="2" spans="1:6" x14ac:dyDescent="0.35">
      <c r="A2" s="84" t="s">
        <v>194</v>
      </c>
      <c r="B2" s="55" t="s">
        <v>196</v>
      </c>
      <c r="C2" s="56">
        <f t="shared" ref="C2:C11" si="0">COUNTIFS(B:B,B2)</f>
        <v>1</v>
      </c>
      <c r="D2" s="55">
        <v>2016</v>
      </c>
      <c r="E2" s="55" t="s">
        <v>310</v>
      </c>
      <c r="F2" s="57">
        <f t="shared" ref="F2:F11" si="1">IF(ISERROR(VLOOKUP(B2,EMPLEADOS2,1,FALSE))=FALSE,1,0)</f>
        <v>1</v>
      </c>
    </row>
    <row r="3" spans="1:6" x14ac:dyDescent="0.35">
      <c r="A3" s="84" t="s">
        <v>314</v>
      </c>
      <c r="B3" s="55" t="s">
        <v>242</v>
      </c>
      <c r="C3" s="56">
        <f t="shared" si="0"/>
        <v>1</v>
      </c>
      <c r="D3" s="55">
        <v>2016</v>
      </c>
      <c r="E3" s="55" t="s">
        <v>312</v>
      </c>
      <c r="F3" s="57">
        <f t="shared" si="1"/>
        <v>0</v>
      </c>
    </row>
    <row r="4" spans="1:6" x14ac:dyDescent="0.35">
      <c r="A4" s="84" t="s">
        <v>232</v>
      </c>
      <c r="B4" s="55" t="s">
        <v>234</v>
      </c>
      <c r="C4" s="56">
        <f t="shared" si="0"/>
        <v>1</v>
      </c>
      <c r="D4" s="55">
        <v>2016</v>
      </c>
      <c r="E4" s="55" t="s">
        <v>310</v>
      </c>
      <c r="F4" s="57">
        <f t="shared" si="1"/>
        <v>1</v>
      </c>
    </row>
    <row r="5" spans="1:6" x14ac:dyDescent="0.35">
      <c r="A5" s="84" t="s">
        <v>313</v>
      </c>
      <c r="B5" s="55" t="s">
        <v>238</v>
      </c>
      <c r="C5" s="56">
        <f t="shared" si="0"/>
        <v>1</v>
      </c>
      <c r="D5" s="55">
        <v>2016</v>
      </c>
      <c r="E5" s="55" t="s">
        <v>310</v>
      </c>
      <c r="F5" s="57">
        <f t="shared" si="1"/>
        <v>1</v>
      </c>
    </row>
    <row r="6" spans="1:6" x14ac:dyDescent="0.35">
      <c r="A6" s="84" t="s">
        <v>203</v>
      </c>
      <c r="B6" s="55" t="s">
        <v>205</v>
      </c>
      <c r="C6" s="56">
        <f t="shared" si="0"/>
        <v>1</v>
      </c>
      <c r="D6" s="55">
        <v>2016</v>
      </c>
      <c r="E6" s="55" t="s">
        <v>311</v>
      </c>
      <c r="F6" s="57">
        <f t="shared" si="1"/>
        <v>1</v>
      </c>
    </row>
    <row r="7" spans="1:6" x14ac:dyDescent="0.35">
      <c r="A7" s="84" t="s">
        <v>315</v>
      </c>
      <c r="B7" s="55" t="s">
        <v>140</v>
      </c>
      <c r="C7" s="56">
        <f t="shared" si="0"/>
        <v>1</v>
      </c>
      <c r="D7" s="55">
        <v>2016</v>
      </c>
      <c r="E7" s="55" t="s">
        <v>312</v>
      </c>
      <c r="F7" s="57">
        <f t="shared" si="1"/>
        <v>0</v>
      </c>
    </row>
    <row r="8" spans="1:6" x14ac:dyDescent="0.35">
      <c r="A8" s="84" t="s">
        <v>221</v>
      </c>
      <c r="B8" s="55" t="s">
        <v>223</v>
      </c>
      <c r="C8" s="56">
        <f t="shared" si="0"/>
        <v>1</v>
      </c>
      <c r="D8" s="55">
        <v>2016</v>
      </c>
      <c r="E8" s="55" t="s">
        <v>310</v>
      </c>
      <c r="F8" s="57">
        <f t="shared" si="1"/>
        <v>1</v>
      </c>
    </row>
    <row r="9" spans="1:6" x14ac:dyDescent="0.35">
      <c r="A9" s="84" t="s">
        <v>241</v>
      </c>
      <c r="B9" s="84" t="s">
        <v>317</v>
      </c>
      <c r="C9" s="85">
        <f t="shared" si="0"/>
        <v>1</v>
      </c>
      <c r="D9" s="84">
        <v>2017</v>
      </c>
      <c r="E9" s="84" t="s">
        <v>312</v>
      </c>
      <c r="F9" s="57">
        <f t="shared" si="1"/>
        <v>0</v>
      </c>
    </row>
    <row r="10" spans="1:6" x14ac:dyDescent="0.35">
      <c r="A10" s="84" t="s">
        <v>239</v>
      </c>
      <c r="B10" s="84" t="s">
        <v>240</v>
      </c>
      <c r="C10" s="85">
        <f t="shared" si="0"/>
        <v>1</v>
      </c>
      <c r="D10" s="84">
        <v>2017</v>
      </c>
      <c r="E10" s="84" t="s">
        <v>312</v>
      </c>
      <c r="F10" s="57">
        <f t="shared" si="1"/>
        <v>0</v>
      </c>
    </row>
    <row r="11" spans="1:6" x14ac:dyDescent="0.35">
      <c r="A11" s="84" t="s">
        <v>316</v>
      </c>
      <c r="B11" s="84" t="s">
        <v>318</v>
      </c>
      <c r="C11" s="85">
        <f t="shared" si="0"/>
        <v>1</v>
      </c>
      <c r="D11" s="84">
        <v>2017</v>
      </c>
      <c r="E11" s="84" t="s">
        <v>310</v>
      </c>
      <c r="F11" s="57">
        <f t="shared" si="1"/>
        <v>0</v>
      </c>
    </row>
  </sheetData>
  <autoFilter ref="A1:F11" xr:uid="{00000000-0009-0000-0000-000009000000}"/>
  <conditionalFormatting sqref="F2:F11">
    <cfRule type="iconSet" priority="4146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J29"/>
  <sheetViews>
    <sheetView workbookViewId="0">
      <selection activeCell="A11" sqref="A11"/>
    </sheetView>
  </sheetViews>
  <sheetFormatPr baseColWidth="10" defaultColWidth="11.36328125" defaultRowHeight="14.5" x14ac:dyDescent="0.35"/>
  <cols>
    <col min="1" max="1" width="59.26953125" style="20" bestFit="1" customWidth="1"/>
    <col min="2" max="2" width="5" style="20" customWidth="1"/>
    <col min="3" max="3" width="71.26953125" style="20" customWidth="1"/>
    <col min="4" max="4" width="6.7265625" style="20" bestFit="1" customWidth="1"/>
    <col min="5" max="5" width="29.81640625" style="20" customWidth="1"/>
    <col min="6" max="6" width="5" style="20" customWidth="1"/>
    <col min="7" max="7" width="17.81640625" style="20" customWidth="1"/>
    <col min="8" max="8" width="6.26953125" style="20" bestFit="1" customWidth="1"/>
    <col min="9" max="9" width="5" style="20" customWidth="1"/>
    <col min="10" max="10" width="29.81640625" style="20" customWidth="1"/>
    <col min="11" max="16384" width="11.36328125" style="20"/>
  </cols>
  <sheetData>
    <row r="1" spans="1:10" ht="15" thickBot="1" x14ac:dyDescent="0.4">
      <c r="A1" s="29" t="s">
        <v>62</v>
      </c>
      <c r="B1" s="30"/>
      <c r="C1" s="31" t="s">
        <v>63</v>
      </c>
      <c r="D1" s="31" t="s">
        <v>64</v>
      </c>
      <c r="E1" s="31" t="s">
        <v>19</v>
      </c>
      <c r="F1" s="30"/>
      <c r="G1" s="32" t="s">
        <v>8</v>
      </c>
      <c r="H1" s="32" t="s">
        <v>64</v>
      </c>
      <c r="I1" s="30"/>
      <c r="J1" s="32" t="s">
        <v>65</v>
      </c>
    </row>
    <row r="2" spans="1:10" x14ac:dyDescent="0.35">
      <c r="A2" s="23" t="s">
        <v>299</v>
      </c>
      <c r="B2" s="33"/>
      <c r="C2" s="27" t="s">
        <v>66</v>
      </c>
      <c r="D2" s="34" t="s">
        <v>67</v>
      </c>
      <c r="E2" s="34" t="s">
        <v>68</v>
      </c>
      <c r="F2" s="33"/>
      <c r="G2" s="35" t="s">
        <v>27</v>
      </c>
      <c r="H2" s="35" t="s">
        <v>69</v>
      </c>
      <c r="I2" s="33"/>
      <c r="J2" s="36" t="s">
        <v>40</v>
      </c>
    </row>
    <row r="3" spans="1:10" x14ac:dyDescent="0.35">
      <c r="A3" s="25" t="s">
        <v>300</v>
      </c>
      <c r="B3" s="33"/>
      <c r="C3" s="27" t="s">
        <v>70</v>
      </c>
      <c r="D3" s="34" t="s">
        <v>71</v>
      </c>
      <c r="E3" s="34" t="s">
        <v>68</v>
      </c>
      <c r="F3" s="33"/>
      <c r="G3" s="36" t="s">
        <v>297</v>
      </c>
      <c r="H3" s="35" t="s">
        <v>49</v>
      </c>
      <c r="I3" s="33"/>
      <c r="J3" s="37" t="s">
        <v>68</v>
      </c>
    </row>
    <row r="4" spans="1:10" ht="15" thickBot="1" x14ac:dyDescent="0.4">
      <c r="A4" s="26" t="s">
        <v>301</v>
      </c>
      <c r="B4" s="33"/>
      <c r="C4" s="27" t="s">
        <v>72</v>
      </c>
      <c r="D4" s="34" t="s">
        <v>73</v>
      </c>
      <c r="E4" s="34" t="s">
        <v>44</v>
      </c>
      <c r="F4" s="33"/>
      <c r="G4" s="36" t="s">
        <v>298</v>
      </c>
      <c r="H4" s="35" t="s">
        <v>50</v>
      </c>
      <c r="I4" s="33"/>
      <c r="J4" s="36" t="s">
        <v>44</v>
      </c>
    </row>
    <row r="5" spans="1:10" x14ac:dyDescent="0.35">
      <c r="B5" s="33"/>
      <c r="C5" s="27" t="s">
        <v>74</v>
      </c>
      <c r="D5" s="34" t="s">
        <v>75</v>
      </c>
      <c r="E5" s="34" t="s">
        <v>76</v>
      </c>
      <c r="F5" s="33"/>
      <c r="G5" s="35" t="s">
        <v>29</v>
      </c>
      <c r="H5" s="35" t="s">
        <v>51</v>
      </c>
      <c r="I5" s="33"/>
      <c r="J5" s="36" t="s">
        <v>76</v>
      </c>
    </row>
    <row r="6" spans="1:10" x14ac:dyDescent="0.35">
      <c r="A6" s="30"/>
      <c r="B6" s="33"/>
      <c r="C6" s="27" t="s">
        <v>77</v>
      </c>
      <c r="D6" s="34" t="s">
        <v>78</v>
      </c>
      <c r="E6" s="34" t="s">
        <v>61</v>
      </c>
      <c r="F6" s="33"/>
      <c r="G6" s="36" t="s">
        <v>302</v>
      </c>
      <c r="H6" s="35" t="s">
        <v>52</v>
      </c>
      <c r="I6" s="33"/>
      <c r="J6" s="37" t="s">
        <v>61</v>
      </c>
    </row>
    <row r="7" spans="1:10" x14ac:dyDescent="0.35">
      <c r="A7" s="38"/>
      <c r="B7" s="33"/>
      <c r="C7" s="27" t="s">
        <v>79</v>
      </c>
      <c r="D7" s="34" t="s">
        <v>80</v>
      </c>
      <c r="E7" s="34" t="s">
        <v>81</v>
      </c>
      <c r="F7" s="33"/>
      <c r="G7" s="35" t="s">
        <v>36</v>
      </c>
      <c r="H7" s="35" t="s">
        <v>53</v>
      </c>
      <c r="I7" s="33"/>
      <c r="J7" s="37" t="s">
        <v>81</v>
      </c>
    </row>
    <row r="8" spans="1:10" x14ac:dyDescent="0.35">
      <c r="B8" s="33"/>
      <c r="C8" s="27" t="s">
        <v>82</v>
      </c>
      <c r="D8" s="34" t="s">
        <v>83</v>
      </c>
      <c r="E8" s="34" t="s">
        <v>84</v>
      </c>
      <c r="F8" s="33"/>
      <c r="G8" s="35" t="s">
        <v>31</v>
      </c>
      <c r="H8" s="35" t="s">
        <v>54</v>
      </c>
      <c r="I8" s="33"/>
      <c r="J8" s="36" t="s">
        <v>84</v>
      </c>
    </row>
    <row r="9" spans="1:10" x14ac:dyDescent="0.35">
      <c r="B9" s="33"/>
      <c r="C9" s="27" t="s">
        <v>85</v>
      </c>
      <c r="D9" s="34" t="s">
        <v>86</v>
      </c>
      <c r="E9" s="34" t="s">
        <v>60</v>
      </c>
      <c r="F9" s="33"/>
      <c r="G9" s="35" t="s">
        <v>32</v>
      </c>
      <c r="H9" s="35" t="s">
        <v>55</v>
      </c>
      <c r="I9" s="33"/>
      <c r="J9" s="36" t="s">
        <v>60</v>
      </c>
    </row>
    <row r="10" spans="1:10" x14ac:dyDescent="0.35">
      <c r="B10" s="33"/>
      <c r="C10" s="27" t="s">
        <v>87</v>
      </c>
      <c r="D10" s="34" t="s">
        <v>88</v>
      </c>
      <c r="E10" s="34" t="s">
        <v>89</v>
      </c>
      <c r="F10" s="33"/>
      <c r="G10" s="35" t="s">
        <v>33</v>
      </c>
      <c r="H10" s="35" t="s">
        <v>303</v>
      </c>
      <c r="I10" s="33"/>
      <c r="J10" s="36" t="s">
        <v>89</v>
      </c>
    </row>
    <row r="11" spans="1:10" x14ac:dyDescent="0.35">
      <c r="B11" s="33"/>
      <c r="C11" s="27" t="s">
        <v>90</v>
      </c>
      <c r="D11" s="34" t="s">
        <v>91</v>
      </c>
      <c r="E11" s="34" t="s">
        <v>92</v>
      </c>
      <c r="F11" s="33"/>
      <c r="G11" s="35" t="s">
        <v>30</v>
      </c>
      <c r="H11" s="35" t="s">
        <v>56</v>
      </c>
      <c r="I11" s="33"/>
      <c r="J11" s="37" t="s">
        <v>92</v>
      </c>
    </row>
    <row r="12" spans="1:10" x14ac:dyDescent="0.35">
      <c r="B12" s="33"/>
      <c r="C12" s="49" t="s">
        <v>320</v>
      </c>
      <c r="D12" s="34" t="s">
        <v>93</v>
      </c>
      <c r="E12" s="34" t="s">
        <v>42</v>
      </c>
      <c r="F12" s="33"/>
      <c r="G12" s="35" t="s">
        <v>37</v>
      </c>
      <c r="H12" s="35" t="s">
        <v>57</v>
      </c>
      <c r="I12" s="33"/>
      <c r="J12" s="36" t="s">
        <v>42</v>
      </c>
    </row>
    <row r="13" spans="1:10" x14ac:dyDescent="0.35">
      <c r="B13" s="33"/>
      <c r="C13" s="27" t="s">
        <v>97</v>
      </c>
      <c r="D13" s="34" t="s">
        <v>98</v>
      </c>
      <c r="E13" s="34" t="s">
        <v>95</v>
      </c>
      <c r="F13" s="33"/>
      <c r="G13" s="35" t="s">
        <v>38</v>
      </c>
      <c r="H13" s="35" t="s">
        <v>58</v>
      </c>
      <c r="I13" s="33"/>
      <c r="J13" s="37" t="s">
        <v>95</v>
      </c>
    </row>
    <row r="14" spans="1:10" x14ac:dyDescent="0.35">
      <c r="B14" s="33"/>
      <c r="C14" s="27" t="s">
        <v>102</v>
      </c>
      <c r="D14" s="34" t="s">
        <v>103</v>
      </c>
      <c r="E14" s="34" t="s">
        <v>59</v>
      </c>
      <c r="F14" s="33"/>
      <c r="G14" s="36" t="s">
        <v>34</v>
      </c>
      <c r="H14" s="35" t="s">
        <v>94</v>
      </c>
      <c r="I14" s="33"/>
      <c r="J14" s="37" t="s">
        <v>59</v>
      </c>
    </row>
    <row r="15" spans="1:10" x14ac:dyDescent="0.35">
      <c r="B15" s="33"/>
      <c r="C15" s="27" t="s">
        <v>105</v>
      </c>
      <c r="D15" s="34" t="s">
        <v>106</v>
      </c>
      <c r="E15" s="34" t="s">
        <v>101</v>
      </c>
      <c r="F15" s="33"/>
      <c r="G15" s="36" t="s">
        <v>35</v>
      </c>
      <c r="H15" s="35" t="s">
        <v>96</v>
      </c>
      <c r="I15" s="33"/>
      <c r="J15" s="34" t="s">
        <v>101</v>
      </c>
    </row>
    <row r="16" spans="1:10" x14ac:dyDescent="0.35">
      <c r="B16" s="33"/>
      <c r="C16" s="27" t="s">
        <v>108</v>
      </c>
      <c r="D16" s="34" t="s">
        <v>109</v>
      </c>
      <c r="E16" s="34" t="s">
        <v>110</v>
      </c>
      <c r="F16" s="33"/>
      <c r="G16" s="35" t="s">
        <v>99</v>
      </c>
      <c r="H16" s="35" t="s">
        <v>100</v>
      </c>
      <c r="I16" s="33"/>
      <c r="J16" s="36" t="s">
        <v>104</v>
      </c>
    </row>
    <row r="17" spans="2:10" x14ac:dyDescent="0.35">
      <c r="B17" s="33"/>
      <c r="C17" s="27" t="s">
        <v>111</v>
      </c>
      <c r="D17" s="34" t="s">
        <v>112</v>
      </c>
      <c r="E17" s="34" t="s">
        <v>104</v>
      </c>
      <c r="F17" s="33"/>
      <c r="G17" s="33"/>
      <c r="H17" s="33"/>
      <c r="I17" s="33"/>
      <c r="J17" s="34" t="s">
        <v>107</v>
      </c>
    </row>
    <row r="18" spans="2:10" x14ac:dyDescent="0.35">
      <c r="B18" s="33"/>
      <c r="C18" s="27" t="s">
        <v>113</v>
      </c>
      <c r="D18" s="34" t="s">
        <v>114</v>
      </c>
      <c r="E18" s="34" t="s">
        <v>107</v>
      </c>
      <c r="F18" s="33"/>
      <c r="G18" s="33"/>
      <c r="H18" s="33"/>
      <c r="I18" s="33"/>
      <c r="J18" s="34" t="s">
        <v>110</v>
      </c>
    </row>
    <row r="19" spans="2:10" x14ac:dyDescent="0.35">
      <c r="B19" s="33"/>
      <c r="C19" s="27" t="s">
        <v>115</v>
      </c>
      <c r="D19" s="34" t="s">
        <v>116</v>
      </c>
      <c r="E19" s="34" t="s">
        <v>107</v>
      </c>
      <c r="F19" s="33"/>
      <c r="G19" s="33"/>
      <c r="H19" s="33"/>
      <c r="I19" s="33"/>
      <c r="J19" s="34" t="s">
        <v>43</v>
      </c>
    </row>
    <row r="20" spans="2:10" x14ac:dyDescent="0.35">
      <c r="B20" s="33"/>
      <c r="C20" s="27" t="s">
        <v>117</v>
      </c>
      <c r="D20" s="34" t="s">
        <v>118</v>
      </c>
      <c r="E20" s="34" t="s">
        <v>43</v>
      </c>
      <c r="F20" s="33"/>
      <c r="G20" s="33"/>
      <c r="H20" s="33"/>
      <c r="I20" s="33"/>
    </row>
    <row r="21" spans="2:10" x14ac:dyDescent="0.35">
      <c r="B21" s="33"/>
      <c r="F21" s="33"/>
      <c r="G21" s="33"/>
      <c r="H21" s="33"/>
      <c r="I21" s="33"/>
    </row>
    <row r="22" spans="2:10" x14ac:dyDescent="0.35">
      <c r="B22" s="33"/>
      <c r="F22" s="33"/>
      <c r="G22" s="33"/>
      <c r="H22" s="33"/>
      <c r="I22" s="33"/>
      <c r="J22" s="38"/>
    </row>
    <row r="23" spans="2:10" x14ac:dyDescent="0.35">
      <c r="B23" s="33"/>
      <c r="F23" s="33"/>
      <c r="G23" s="33"/>
      <c r="H23" s="33"/>
      <c r="I23" s="33"/>
      <c r="J23" s="38"/>
    </row>
    <row r="24" spans="2:10" x14ac:dyDescent="0.35">
      <c r="B24" s="33"/>
      <c r="F24" s="33"/>
      <c r="G24" s="33"/>
      <c r="H24" s="33"/>
      <c r="I24" s="33"/>
      <c r="J24" s="38"/>
    </row>
    <row r="25" spans="2:10" x14ac:dyDescent="0.35">
      <c r="B25" s="33"/>
      <c r="F25" s="33"/>
      <c r="G25" s="33"/>
      <c r="H25" s="33"/>
      <c r="I25" s="33"/>
      <c r="J25" s="38"/>
    </row>
    <row r="26" spans="2:10" x14ac:dyDescent="0.35">
      <c r="B26" s="33"/>
      <c r="F26" s="33"/>
      <c r="G26" s="33"/>
      <c r="H26" s="33"/>
      <c r="I26" s="33"/>
      <c r="J26" s="38"/>
    </row>
    <row r="27" spans="2:10" x14ac:dyDescent="0.35">
      <c r="B27" s="33"/>
      <c r="F27" s="33"/>
      <c r="G27" s="33"/>
      <c r="H27" s="33"/>
      <c r="I27" s="33"/>
      <c r="J27" s="38"/>
    </row>
    <row r="28" spans="2:10" x14ac:dyDescent="0.35">
      <c r="B28" s="33"/>
      <c r="F28" s="33"/>
      <c r="G28" s="33"/>
      <c r="H28" s="33"/>
      <c r="I28" s="33"/>
      <c r="J28" s="38"/>
    </row>
    <row r="29" spans="2:10" x14ac:dyDescent="0.35">
      <c r="G29" s="33"/>
      <c r="H29" s="3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887E61D8E3FBC4183A9A7F3EAC2F964" ma:contentTypeVersion="0" ma:contentTypeDescription="Crear nuevo documento." ma:contentTypeScope="" ma:versionID="3969b3bcb661d8bc17cd19764e52106f">
  <xsd:schema xmlns:xsd="http://www.w3.org/2001/XMLSchema" xmlns:p="http://schemas.microsoft.com/office/2006/metadata/properties" targetNamespace="http://schemas.microsoft.com/office/2006/metadata/properties" ma:root="true" ma:fieldsID="c5771665b81ff11122397a2267100e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Tipo de contenido" ma:readOnly="true"/>
        <xsd:element ref="dc:title" minOccurs="0" maxOccurs="1" ma:index="0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D9FB162A-8906-4599-B096-6217A77F861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CF7ACF3-2E72-4D4D-81B9-5A60356C26A9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5BB546B-1102-4580-8906-6EA391EAF9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15</vt:i4>
      </vt:variant>
    </vt:vector>
  </HeadingPairs>
  <TitlesOfParts>
    <vt:vector size="23" baseType="lpstr">
      <vt:lpstr>Portada</vt:lpstr>
      <vt:lpstr>Call Tree HRE 2018</vt:lpstr>
      <vt:lpstr>Resumen acumulado</vt:lpstr>
      <vt:lpstr>Resumen sin acumular</vt:lpstr>
      <vt:lpstr>Personal Interno</vt:lpstr>
      <vt:lpstr>Resumen Personal-Equipamiento</vt:lpstr>
      <vt:lpstr>Histórico Pruebas</vt:lpstr>
      <vt:lpstr>Códigos</vt:lpstr>
      <vt:lpstr>'Call Tree HRE 2018'!Área_de_impresión</vt:lpstr>
      <vt:lpstr>Portada!Área_de_impresión</vt:lpstr>
      <vt:lpstr>CRITICIDAD</vt:lpstr>
      <vt:lpstr>EDIFICIOS</vt:lpstr>
      <vt:lpstr>EMPLEADOS</vt:lpstr>
      <vt:lpstr>EMPLEADOS2</vt:lpstr>
      <vt:lpstr>EQUIPOS</vt:lpstr>
      <vt:lpstr>LISTADO_CRITICIDADES</vt:lpstr>
      <vt:lpstr>LISTADO_EQUIPOS</vt:lpstr>
      <vt:lpstr>LISTADO_PROVINCIAS</vt:lpstr>
      <vt:lpstr>LOCALIZADOS</vt:lpstr>
      <vt:lpstr>ORDEN</vt:lpstr>
      <vt:lpstr>PROVINCIAS</vt:lpstr>
      <vt:lpstr>PRUEBAS_NOMBRE</vt:lpstr>
      <vt:lpstr>PRUEBAS_PARTICIPANTES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Federico Segura</dc:creator>
  <cp:keywords/>
  <dc:description/>
  <cp:lastModifiedBy>Sergio Palacios</cp:lastModifiedBy>
  <cp:revision/>
  <cp:lastPrinted>2018-06-29T06:01:44Z</cp:lastPrinted>
  <dcterms:created xsi:type="dcterms:W3CDTF">2018-02-28T12:52:45Z</dcterms:created>
  <dcterms:modified xsi:type="dcterms:W3CDTF">2019-04-11T10:36:54Z</dcterms:modified>
  <cp:category/>
  <cp:contentStatus/>
</cp:coreProperties>
</file>