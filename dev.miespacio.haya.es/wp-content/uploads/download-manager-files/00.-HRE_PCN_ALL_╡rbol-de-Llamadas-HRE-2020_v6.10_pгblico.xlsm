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autoCompressPictures="0" defaultThemeVersion="124226"/>
  <mc:AlternateContent xmlns:mc="http://schemas.openxmlformats.org/markup-compatibility/2006">
    <mc:Choice Requires="x15">
      <x15ac:absPath xmlns:x15ac="http://schemas.microsoft.com/office/spreadsheetml/2010/11/ac" url="C:\OD\OneDrive - SCN\045 - HAYA\HRE_2020\01. PCN\02. Estrategias\01. Árbol de Llamadas\"/>
    </mc:Choice>
  </mc:AlternateContent>
  <xr:revisionPtr revIDLastSave="0" documentId="13_ncr:1_{AEC5290C-AB3D-49A1-9AA1-830A334CF725}" xr6:coauthVersionLast="45" xr6:coauthVersionMax="45" xr10:uidLastSave="{00000000-0000-0000-0000-000000000000}"/>
  <bookViews>
    <workbookView xWindow="-120" yWindow="-120" windowWidth="29040" windowHeight="15840" tabRatio="799" activeTab="1" xr2:uid="{5756229B-AF80-4C2D-A14D-F501919BA4D3}"/>
  </bookViews>
  <sheets>
    <sheet name="Portada" sheetId="20" r:id="rId1"/>
    <sheet name="Call Tree HRE" sheetId="1" r:id="rId2"/>
    <sheet name="Seguimiento CalltTree" sheetId="25" r:id="rId3"/>
    <sheet name="Resumen por Ubicación" sheetId="7" r:id="rId4"/>
  </sheets>
  <definedNames>
    <definedName name="_xlnm._FilterDatabase" localSheetId="1" hidden="1">'Call Tree HRE'!$A$2:$AN$456</definedName>
    <definedName name="_xlnm._FilterDatabase" localSheetId="2" hidden="1">'Seguimiento CalltTree'!$A$7:$AA$27</definedName>
    <definedName name="_xlnm.Print_Area" localSheetId="1">'Call Tree HRE'!$C$1:$AB$431</definedName>
    <definedName name="_xlnm.Print_Area" localSheetId="0">Portada!$B$2:$L$23</definedName>
    <definedName name="CRITICIDAD">'Call Tree HRE'!$G$3:$G$715</definedName>
    <definedName name="EDIFICIOS">#REF!</definedName>
    <definedName name="EMPLEADOS">#REF!</definedName>
    <definedName name="EQUIPOS">'Call Tree HRE'!$C$3:$C$715</definedName>
    <definedName name="EquiposSeguimiento">'Seguimiento CalltTree'!$A$8:$B$27</definedName>
    <definedName name="LISTADO_CRITICIDADES">#REF!</definedName>
    <definedName name="LISTADO_EQUIPOS">#REF!</definedName>
    <definedName name="LISTADO_PROVINCIAS">#REF!</definedName>
    <definedName name="LOCALIZADOS">'Call Tree HRE'!$V$3:$V$715</definedName>
    <definedName name="ORDEN">#REF!</definedName>
    <definedName name="PROVINCIAS">'Call Tree HRE'!$U$3:$U$715</definedName>
    <definedName name="PRUEBAS_NOMBRE">#REF!</definedName>
    <definedName name="PRUEBAS_PARTICIPANTES">#REF!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 i="7" l="1"/>
  <c r="C29" i="7"/>
  <c r="D29" i="7"/>
  <c r="E29" i="7"/>
  <c r="F29" i="7"/>
  <c r="G29" i="7"/>
  <c r="H29" i="7"/>
  <c r="I29" i="7"/>
  <c r="S29" i="7" s="1"/>
  <c r="J29" i="7"/>
  <c r="K29" i="7"/>
  <c r="L29" i="7"/>
  <c r="M29" i="7"/>
  <c r="N29" i="7"/>
  <c r="O29" i="7"/>
  <c r="P29" i="7"/>
  <c r="Q29" i="7"/>
  <c r="AA29" i="7"/>
  <c r="AB29" i="7"/>
  <c r="AC29" i="7"/>
  <c r="B30" i="7"/>
  <c r="C30" i="7"/>
  <c r="D30" i="7"/>
  <c r="E30" i="7"/>
  <c r="F30" i="7"/>
  <c r="G30" i="7"/>
  <c r="H30" i="7"/>
  <c r="I30" i="7"/>
  <c r="J30" i="7"/>
  <c r="K30" i="7"/>
  <c r="L30" i="7"/>
  <c r="M30" i="7"/>
  <c r="N30" i="7"/>
  <c r="O30" i="7"/>
  <c r="P30" i="7"/>
  <c r="AA30" i="7"/>
  <c r="AB30" i="7"/>
  <c r="AC30" i="7"/>
  <c r="B31" i="7"/>
  <c r="C31" i="7"/>
  <c r="D31" i="7"/>
  <c r="E31" i="7"/>
  <c r="F31" i="7"/>
  <c r="G31" i="7"/>
  <c r="H31" i="7"/>
  <c r="I31" i="7"/>
  <c r="J31" i="7"/>
  <c r="K31" i="7"/>
  <c r="L31" i="7"/>
  <c r="M31" i="7"/>
  <c r="N31" i="7"/>
  <c r="O31" i="7"/>
  <c r="P31" i="7"/>
  <c r="AA31" i="7"/>
  <c r="AB31" i="7"/>
  <c r="AC31" i="7"/>
  <c r="B32" i="7"/>
  <c r="C32" i="7"/>
  <c r="D32" i="7"/>
  <c r="E32" i="7"/>
  <c r="F32" i="7"/>
  <c r="G32" i="7"/>
  <c r="H32" i="7"/>
  <c r="I32" i="7"/>
  <c r="J32" i="7"/>
  <c r="J49" i="7" s="1"/>
  <c r="K32" i="7"/>
  <c r="L32" i="7"/>
  <c r="M32" i="7"/>
  <c r="N32" i="7"/>
  <c r="O32" i="7"/>
  <c r="P32" i="7"/>
  <c r="AA32" i="7"/>
  <c r="AB32" i="7"/>
  <c r="AC32" i="7"/>
  <c r="B33" i="7"/>
  <c r="C33" i="7"/>
  <c r="D33" i="7"/>
  <c r="E33" i="7"/>
  <c r="F33" i="7"/>
  <c r="G33" i="7"/>
  <c r="H33" i="7"/>
  <c r="I33" i="7"/>
  <c r="J33" i="7"/>
  <c r="K33" i="7"/>
  <c r="L33" i="7"/>
  <c r="M33" i="7"/>
  <c r="N33" i="7"/>
  <c r="O33" i="7"/>
  <c r="P33" i="7"/>
  <c r="U33" i="7" s="1"/>
  <c r="Q33" i="7"/>
  <c r="AA33" i="7"/>
  <c r="AB33" i="7"/>
  <c r="AC33" i="7"/>
  <c r="B34" i="7"/>
  <c r="C34" i="7"/>
  <c r="D34" i="7"/>
  <c r="E34" i="7"/>
  <c r="E49" i="7" s="1"/>
  <c r="F34" i="7"/>
  <c r="G34" i="7"/>
  <c r="H34" i="7"/>
  <c r="I34" i="7"/>
  <c r="J34" i="7"/>
  <c r="K34" i="7"/>
  <c r="L34" i="7"/>
  <c r="M34" i="7"/>
  <c r="N34" i="7"/>
  <c r="O34" i="7"/>
  <c r="P34" i="7"/>
  <c r="AA34" i="7"/>
  <c r="AB34" i="7"/>
  <c r="AC34" i="7"/>
  <c r="B35" i="7"/>
  <c r="C35" i="7"/>
  <c r="D35" i="7"/>
  <c r="E35" i="7"/>
  <c r="F35" i="7"/>
  <c r="G35" i="7"/>
  <c r="H35" i="7"/>
  <c r="I35" i="7"/>
  <c r="J35" i="7"/>
  <c r="K35" i="7"/>
  <c r="L35" i="7"/>
  <c r="M35" i="7"/>
  <c r="N35" i="7"/>
  <c r="O35" i="7"/>
  <c r="P35" i="7"/>
  <c r="AA35" i="7"/>
  <c r="AB35" i="7"/>
  <c r="AC35" i="7"/>
  <c r="B36" i="7"/>
  <c r="C36" i="7"/>
  <c r="D36" i="7"/>
  <c r="E36" i="7"/>
  <c r="F36" i="7"/>
  <c r="G36" i="7"/>
  <c r="H36" i="7"/>
  <c r="I36" i="7"/>
  <c r="J36" i="7"/>
  <c r="K36" i="7"/>
  <c r="L36" i="7"/>
  <c r="Q36" i="7" s="1"/>
  <c r="M36" i="7"/>
  <c r="N36" i="7"/>
  <c r="O36" i="7"/>
  <c r="P36" i="7"/>
  <c r="AA36" i="7"/>
  <c r="AB36" i="7"/>
  <c r="AC36" i="7"/>
  <c r="B37" i="7"/>
  <c r="Q37" i="7" s="1"/>
  <c r="C37" i="7"/>
  <c r="D37" i="7"/>
  <c r="E37" i="7"/>
  <c r="F37" i="7"/>
  <c r="G37" i="7"/>
  <c r="H37" i="7"/>
  <c r="I37" i="7"/>
  <c r="S37" i="7" s="1"/>
  <c r="J37" i="7"/>
  <c r="K37" i="7"/>
  <c r="L37" i="7"/>
  <c r="M37" i="7"/>
  <c r="N37" i="7"/>
  <c r="O37" i="7"/>
  <c r="P37" i="7"/>
  <c r="U37" i="7" s="1"/>
  <c r="AA37" i="7"/>
  <c r="AB37" i="7"/>
  <c r="AC37" i="7"/>
  <c r="B38" i="7"/>
  <c r="C38" i="7"/>
  <c r="D38" i="7"/>
  <c r="E38" i="7"/>
  <c r="F38" i="7"/>
  <c r="G38" i="7"/>
  <c r="H38" i="7"/>
  <c r="I38" i="7"/>
  <c r="J38" i="7"/>
  <c r="K38" i="7"/>
  <c r="L38" i="7"/>
  <c r="M38" i="7"/>
  <c r="N38" i="7"/>
  <c r="O38" i="7"/>
  <c r="P38" i="7"/>
  <c r="AA38" i="7"/>
  <c r="AB38" i="7"/>
  <c r="AC38" i="7"/>
  <c r="B39" i="7"/>
  <c r="C39" i="7"/>
  <c r="D39" i="7"/>
  <c r="E39" i="7"/>
  <c r="F39" i="7"/>
  <c r="G39" i="7"/>
  <c r="H39" i="7"/>
  <c r="I39" i="7"/>
  <c r="J39" i="7"/>
  <c r="K39" i="7"/>
  <c r="L39" i="7"/>
  <c r="M39" i="7"/>
  <c r="N39" i="7"/>
  <c r="O39" i="7"/>
  <c r="P39" i="7"/>
  <c r="AA39" i="7"/>
  <c r="AB39" i="7"/>
  <c r="AC39" i="7"/>
  <c r="B40" i="7"/>
  <c r="C40" i="7"/>
  <c r="D40" i="7"/>
  <c r="E40" i="7"/>
  <c r="F40" i="7"/>
  <c r="G40" i="7"/>
  <c r="H40" i="7"/>
  <c r="I40" i="7"/>
  <c r="J40" i="7"/>
  <c r="K40" i="7"/>
  <c r="L40" i="7"/>
  <c r="M40" i="7"/>
  <c r="N40" i="7"/>
  <c r="O40" i="7"/>
  <c r="P40" i="7"/>
  <c r="U40" i="7" s="1"/>
  <c r="AA40" i="7"/>
  <c r="AB40" i="7"/>
  <c r="AC40" i="7"/>
  <c r="B41" i="7"/>
  <c r="C41" i="7"/>
  <c r="D41" i="7"/>
  <c r="E41" i="7"/>
  <c r="F41" i="7"/>
  <c r="G41" i="7"/>
  <c r="H41" i="7"/>
  <c r="I41" i="7"/>
  <c r="J41" i="7"/>
  <c r="K41" i="7"/>
  <c r="L41" i="7"/>
  <c r="M41" i="7"/>
  <c r="N41" i="7"/>
  <c r="O41" i="7"/>
  <c r="P41" i="7"/>
  <c r="Q41" i="7"/>
  <c r="AA41" i="7"/>
  <c r="AB41" i="7"/>
  <c r="AC41" i="7"/>
  <c r="B42" i="7"/>
  <c r="C42" i="7"/>
  <c r="D42" i="7"/>
  <c r="E42" i="7"/>
  <c r="F42" i="7"/>
  <c r="G42" i="7"/>
  <c r="H42" i="7"/>
  <c r="I42" i="7"/>
  <c r="J42" i="7"/>
  <c r="K42" i="7"/>
  <c r="L42" i="7"/>
  <c r="M42" i="7"/>
  <c r="N42" i="7"/>
  <c r="O42" i="7"/>
  <c r="P42" i="7"/>
  <c r="AA42" i="7"/>
  <c r="AB42" i="7"/>
  <c r="AC42" i="7"/>
  <c r="B43" i="7"/>
  <c r="C43" i="7"/>
  <c r="D43" i="7"/>
  <c r="E43" i="7"/>
  <c r="F43" i="7"/>
  <c r="G43" i="7"/>
  <c r="H43" i="7"/>
  <c r="I43" i="7"/>
  <c r="J43" i="7"/>
  <c r="K43" i="7"/>
  <c r="L43" i="7"/>
  <c r="M43" i="7"/>
  <c r="N43" i="7"/>
  <c r="O43" i="7"/>
  <c r="P43" i="7"/>
  <c r="AA43" i="7"/>
  <c r="AB43" i="7"/>
  <c r="AC43" i="7"/>
  <c r="B44" i="7"/>
  <c r="C44" i="7"/>
  <c r="D44" i="7"/>
  <c r="E44" i="7"/>
  <c r="F44" i="7"/>
  <c r="G44" i="7"/>
  <c r="H44" i="7"/>
  <c r="I44" i="7"/>
  <c r="J44" i="7"/>
  <c r="K44" i="7"/>
  <c r="L44" i="7"/>
  <c r="M44" i="7"/>
  <c r="N44" i="7"/>
  <c r="O44" i="7"/>
  <c r="P44" i="7"/>
  <c r="U44" i="7" s="1"/>
  <c r="AA44" i="7"/>
  <c r="AB44" i="7"/>
  <c r="AC44" i="7"/>
  <c r="B45" i="7"/>
  <c r="Q45" i="7" s="1"/>
  <c r="C45" i="7"/>
  <c r="D45" i="7"/>
  <c r="E45" i="7"/>
  <c r="T45" i="7" s="1"/>
  <c r="Y45" i="7" s="1"/>
  <c r="F45" i="7"/>
  <c r="G45" i="7"/>
  <c r="H45" i="7"/>
  <c r="I45" i="7"/>
  <c r="J45" i="7"/>
  <c r="K45" i="7"/>
  <c r="L45" i="7"/>
  <c r="M45" i="7"/>
  <c r="N45" i="7"/>
  <c r="O45" i="7"/>
  <c r="P45" i="7"/>
  <c r="U45" i="7" s="1"/>
  <c r="AA45" i="7"/>
  <c r="AB45" i="7"/>
  <c r="AC45" i="7"/>
  <c r="B46" i="7"/>
  <c r="Q46" i="7" s="1"/>
  <c r="C46" i="7"/>
  <c r="D46" i="7"/>
  <c r="E46" i="7"/>
  <c r="F46" i="7"/>
  <c r="G46" i="7"/>
  <c r="H46" i="7"/>
  <c r="I46" i="7"/>
  <c r="J46" i="7"/>
  <c r="K46" i="7"/>
  <c r="L46" i="7"/>
  <c r="M46" i="7"/>
  <c r="N46" i="7"/>
  <c r="O46" i="7"/>
  <c r="P46" i="7"/>
  <c r="AA46" i="7"/>
  <c r="AB46" i="7"/>
  <c r="AB49" i="7" s="1"/>
  <c r="AC46" i="7"/>
  <c r="B47" i="7"/>
  <c r="C47" i="7"/>
  <c r="D47" i="7"/>
  <c r="E47" i="7"/>
  <c r="F47" i="7"/>
  <c r="G47" i="7"/>
  <c r="H47" i="7"/>
  <c r="I47" i="7"/>
  <c r="J47" i="7"/>
  <c r="K47" i="7"/>
  <c r="L47" i="7"/>
  <c r="M47" i="7"/>
  <c r="N47" i="7"/>
  <c r="O47" i="7"/>
  <c r="P47" i="7"/>
  <c r="AA47" i="7"/>
  <c r="AB47" i="7"/>
  <c r="AC47" i="7"/>
  <c r="B48" i="7"/>
  <c r="C48" i="7"/>
  <c r="D48" i="7"/>
  <c r="E48" i="7"/>
  <c r="F48" i="7"/>
  <c r="G48" i="7"/>
  <c r="H48" i="7"/>
  <c r="I48" i="7"/>
  <c r="J48" i="7"/>
  <c r="K48" i="7"/>
  <c r="L48" i="7"/>
  <c r="M48" i="7"/>
  <c r="N48" i="7"/>
  <c r="N49" i="7" s="1"/>
  <c r="O48" i="7"/>
  <c r="P48" i="7"/>
  <c r="AA48" i="7"/>
  <c r="AA49" i="7" s="1"/>
  <c r="AB48" i="7"/>
  <c r="AC48" i="7"/>
  <c r="B50" i="7"/>
  <c r="G50" i="7"/>
  <c r="L50" i="7"/>
  <c r="V50" i="7"/>
  <c r="Q50" i="7" l="1"/>
  <c r="Q47" i="7"/>
  <c r="Q42" i="7"/>
  <c r="T41" i="7"/>
  <c r="Y41" i="7" s="1"/>
  <c r="U36" i="7"/>
  <c r="K49" i="7"/>
  <c r="C49" i="7"/>
  <c r="Q48" i="7"/>
  <c r="Q43" i="7"/>
  <c r="Q38" i="7"/>
  <c r="T37" i="7"/>
  <c r="Y37" i="7" s="1"/>
  <c r="U32" i="7"/>
  <c r="AC49" i="7"/>
  <c r="Q44" i="7"/>
  <c r="Q39" i="7"/>
  <c r="Q34" i="7"/>
  <c r="T33" i="7"/>
  <c r="Y33" i="7" s="1"/>
  <c r="F49" i="7"/>
  <c r="S45" i="7"/>
  <c r="Q40" i="7"/>
  <c r="Q35" i="7"/>
  <c r="B49" i="7"/>
  <c r="M49" i="7"/>
  <c r="T29" i="7"/>
  <c r="S41" i="7"/>
  <c r="O49" i="7"/>
  <c r="G49" i="7"/>
  <c r="U48" i="7"/>
  <c r="U41" i="7"/>
  <c r="Q32" i="7"/>
  <c r="D49" i="7"/>
  <c r="S46" i="7"/>
  <c r="T46" i="7"/>
  <c r="Y46" i="7" s="1"/>
  <c r="S42" i="7"/>
  <c r="X42" i="7" s="1"/>
  <c r="T42" i="7"/>
  <c r="Y42" i="7" s="1"/>
  <c r="S38" i="7"/>
  <c r="T38" i="7"/>
  <c r="Y38" i="7" s="1"/>
  <c r="T34" i="7"/>
  <c r="Y34" i="7" s="1"/>
  <c r="Q30" i="7"/>
  <c r="T30" i="7"/>
  <c r="Y30" i="7" s="1"/>
  <c r="S47" i="7"/>
  <c r="T47" i="7"/>
  <c r="Y47" i="7" s="1"/>
  <c r="U46" i="7"/>
  <c r="Z46" i="7" s="1"/>
  <c r="H49" i="7"/>
  <c r="S43" i="7"/>
  <c r="T43" i="7"/>
  <c r="Y43" i="7" s="1"/>
  <c r="U42" i="7"/>
  <c r="S39" i="7"/>
  <c r="T39" i="7"/>
  <c r="Y39" i="7" s="1"/>
  <c r="U38" i="7"/>
  <c r="Z38" i="7" s="1"/>
  <c r="T35" i="7"/>
  <c r="Y35" i="7" s="1"/>
  <c r="U34" i="7"/>
  <c r="Q31" i="7"/>
  <c r="T31" i="7"/>
  <c r="Y31" i="7" s="1"/>
  <c r="U30" i="7"/>
  <c r="I49" i="7"/>
  <c r="L49" i="7"/>
  <c r="S48" i="7"/>
  <c r="T48" i="7"/>
  <c r="Y48" i="7" s="1"/>
  <c r="U47" i="7"/>
  <c r="S44" i="7"/>
  <c r="T44" i="7"/>
  <c r="Y44" i="7" s="1"/>
  <c r="U43" i="7"/>
  <c r="S40" i="7"/>
  <c r="T40" i="7"/>
  <c r="U39" i="7"/>
  <c r="Z39" i="7" s="1"/>
  <c r="S36" i="7"/>
  <c r="X36" i="7" s="1"/>
  <c r="T36" i="7"/>
  <c r="Y36" i="7" s="1"/>
  <c r="U35" i="7"/>
  <c r="T32" i="7"/>
  <c r="Y32" i="7" s="1"/>
  <c r="U31" i="7"/>
  <c r="S35" i="7"/>
  <c r="X35" i="7" s="1"/>
  <c r="S34" i="7"/>
  <c r="X34" i="7" s="1"/>
  <c r="S33" i="7"/>
  <c r="X33" i="7" s="1"/>
  <c r="S32" i="7"/>
  <c r="X32" i="7" s="1"/>
  <c r="S31" i="7"/>
  <c r="X31" i="7" s="1"/>
  <c r="S30" i="7"/>
  <c r="X30" i="7" s="1"/>
  <c r="V29" i="7"/>
  <c r="R29" i="7"/>
  <c r="Z48" i="7"/>
  <c r="V48" i="7"/>
  <c r="R48" i="7"/>
  <c r="W48" i="7" s="1"/>
  <c r="Z47" i="7"/>
  <c r="V47" i="7"/>
  <c r="R47" i="7"/>
  <c r="W47" i="7" s="1"/>
  <c r="V46" i="7"/>
  <c r="R46" i="7"/>
  <c r="W46" i="7" s="1"/>
  <c r="Z45" i="7"/>
  <c r="V45" i="7"/>
  <c r="R45" i="7"/>
  <c r="W45" i="7" s="1"/>
  <c r="Z44" i="7"/>
  <c r="V44" i="7"/>
  <c r="R44" i="7"/>
  <c r="W44" i="7" s="1"/>
  <c r="Z43" i="7"/>
  <c r="V43" i="7"/>
  <c r="R43" i="7"/>
  <c r="W43" i="7" s="1"/>
  <c r="Z42" i="7"/>
  <c r="V42" i="7"/>
  <c r="R42" i="7"/>
  <c r="W42" i="7" s="1"/>
  <c r="Z41" i="7"/>
  <c r="V41" i="7"/>
  <c r="R41" i="7"/>
  <c r="W41" i="7" s="1"/>
  <c r="Z40" i="7"/>
  <c r="V40" i="7"/>
  <c r="R40" i="7"/>
  <c r="W40" i="7" s="1"/>
  <c r="V39" i="7"/>
  <c r="R39" i="7"/>
  <c r="W39" i="7" s="1"/>
  <c r="V38" i="7"/>
  <c r="R38" i="7"/>
  <c r="W38" i="7" s="1"/>
  <c r="Z37" i="7"/>
  <c r="V37" i="7"/>
  <c r="R37" i="7"/>
  <c r="W37" i="7" s="1"/>
  <c r="Z36" i="7"/>
  <c r="V36" i="7"/>
  <c r="R36" i="7"/>
  <c r="W36" i="7" s="1"/>
  <c r="Z35" i="7"/>
  <c r="V35" i="7"/>
  <c r="R35" i="7"/>
  <c r="W35" i="7" s="1"/>
  <c r="Z34" i="7"/>
  <c r="V34" i="7"/>
  <c r="R34" i="7"/>
  <c r="W34" i="7" s="1"/>
  <c r="Z33" i="7"/>
  <c r="V33" i="7"/>
  <c r="R33" i="7"/>
  <c r="W33" i="7" s="1"/>
  <c r="Z32" i="7"/>
  <c r="V32" i="7"/>
  <c r="R32" i="7"/>
  <c r="W32" i="7" s="1"/>
  <c r="Z31" i="7"/>
  <c r="V31" i="7"/>
  <c r="R31" i="7"/>
  <c r="W31" i="7" s="1"/>
  <c r="Z30" i="7"/>
  <c r="V30" i="7"/>
  <c r="R30" i="7"/>
  <c r="W30" i="7" s="1"/>
  <c r="P49" i="7"/>
  <c r="U29" i="7"/>
  <c r="Y29" i="7"/>
  <c r="Y40" i="7"/>
  <c r="X48" i="7"/>
  <c r="X47" i="7"/>
  <c r="X46" i="7"/>
  <c r="X45" i="7"/>
  <c r="X44" i="7"/>
  <c r="X43" i="7"/>
  <c r="X41" i="7"/>
  <c r="X40" i="7"/>
  <c r="X39" i="7"/>
  <c r="X38" i="7"/>
  <c r="X37" i="7"/>
  <c r="X29" i="7"/>
  <c r="W29" i="7"/>
  <c r="Q49" i="7" l="1"/>
  <c r="U49" i="7"/>
  <c r="S49" i="7"/>
  <c r="T49" i="7"/>
  <c r="V49" i="7"/>
  <c r="W49" i="7"/>
  <c r="R49" i="7"/>
  <c r="Z29" i="7"/>
  <c r="Z49" i="7" s="1"/>
  <c r="X49" i="7"/>
  <c r="Y49" i="7"/>
  <c r="B25" i="7" l="1"/>
  <c r="E9" i="25" l="1"/>
  <c r="E10" i="25"/>
  <c r="E11" i="25"/>
  <c r="E12" i="25"/>
  <c r="E13" i="25"/>
  <c r="E14" i="25"/>
  <c r="E15" i="25"/>
  <c r="E16" i="25"/>
  <c r="E17" i="25"/>
  <c r="E18" i="25"/>
  <c r="E19" i="25"/>
  <c r="E20" i="25"/>
  <c r="E21" i="25"/>
  <c r="E22" i="25"/>
  <c r="E23" i="25"/>
  <c r="E24" i="25"/>
  <c r="E25" i="25"/>
  <c r="E26" i="25"/>
  <c r="E27" i="25"/>
  <c r="E8" i="25"/>
  <c r="G13" i="25"/>
  <c r="G14" i="25"/>
  <c r="G15" i="25"/>
  <c r="G18" i="25"/>
  <c r="Y9" i="25"/>
  <c r="Z9" i="25"/>
  <c r="Y10" i="25"/>
  <c r="Z10" i="25"/>
  <c r="Y11" i="25"/>
  <c r="Z11" i="25"/>
  <c r="Y12" i="25"/>
  <c r="Z12" i="25"/>
  <c r="Y13" i="25"/>
  <c r="Z13" i="25"/>
  <c r="M13" i="25" s="1"/>
  <c r="Y14" i="25"/>
  <c r="Z14" i="25"/>
  <c r="Y15" i="25"/>
  <c r="Z15" i="25"/>
  <c r="M15" i="25" s="1"/>
  <c r="Y16" i="25"/>
  <c r="Z16" i="25"/>
  <c r="Y17" i="25"/>
  <c r="Z17" i="25"/>
  <c r="Y18" i="25"/>
  <c r="Z18" i="25"/>
  <c r="M18" i="25" s="1"/>
  <c r="Y19" i="25"/>
  <c r="Z19" i="25"/>
  <c r="Y20" i="25"/>
  <c r="Z20" i="25"/>
  <c r="Y21" i="25"/>
  <c r="Z21" i="25"/>
  <c r="Y22" i="25"/>
  <c r="Z22" i="25"/>
  <c r="Y23" i="25"/>
  <c r="Z23" i="25"/>
  <c r="Y24" i="25"/>
  <c r="Z24" i="25"/>
  <c r="Y25" i="25"/>
  <c r="Z25" i="25"/>
  <c r="Y26" i="25"/>
  <c r="Z26" i="25"/>
  <c r="Y27" i="25"/>
  <c r="Z27" i="25"/>
  <c r="Z8" i="25"/>
  <c r="Y8" i="25"/>
  <c r="M14" i="25" l="1"/>
  <c r="Z28" i="25"/>
  <c r="Y28"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D8" i="25"/>
  <c r="C8" i="25"/>
  <c r="S15" i="25" l="1"/>
  <c r="S14" i="25"/>
  <c r="S18" i="25"/>
  <c r="S13" i="25"/>
  <c r="G12" i="25" l="1"/>
  <c r="M12" i="25" s="1"/>
  <c r="H12" i="25" l="1"/>
  <c r="N12" i="25" s="1"/>
  <c r="I12" i="25" l="1"/>
  <c r="O12" i="25" s="1"/>
  <c r="S12" i="25"/>
  <c r="J12" i="25" l="1"/>
  <c r="P12" i="25" s="1"/>
  <c r="U12" i="25"/>
  <c r="T12" i="25"/>
  <c r="K12" i="25" l="1"/>
  <c r="Q12" i="25" s="1"/>
  <c r="V12" i="25"/>
  <c r="W12" i="25" l="1"/>
  <c r="H15" i="25" l="1"/>
  <c r="N15" i="25" s="1"/>
  <c r="I15" i="25" l="1"/>
  <c r="O15" i="25" s="1"/>
  <c r="T15" i="25"/>
  <c r="U15" i="25" l="1"/>
  <c r="E16" i="20" l="1"/>
  <c r="G19" i="25" l="1"/>
  <c r="M19" i="25" s="1"/>
  <c r="G16" i="25"/>
  <c r="M16" i="25" s="1"/>
  <c r="S16" i="25" l="1"/>
  <c r="S19" i="25"/>
  <c r="V25" i="7"/>
  <c r="AC23" i="7"/>
  <c r="AB23" i="7"/>
  <c r="AA23" i="7"/>
  <c r="AC22" i="7"/>
  <c r="AB22" i="7"/>
  <c r="AA22" i="7"/>
  <c r="AC21" i="7"/>
  <c r="AB21" i="7"/>
  <c r="AA21" i="7"/>
  <c r="AC20" i="7"/>
  <c r="AB20" i="7"/>
  <c r="AA20" i="7"/>
  <c r="AC19" i="7"/>
  <c r="AB19" i="7"/>
  <c r="AA19" i="7"/>
  <c r="AC18" i="7"/>
  <c r="AB18" i="7"/>
  <c r="AA18" i="7"/>
  <c r="AC17" i="7"/>
  <c r="AB17" i="7"/>
  <c r="AA17" i="7"/>
  <c r="AC16" i="7"/>
  <c r="AB16" i="7"/>
  <c r="AA16" i="7"/>
  <c r="AC15" i="7"/>
  <c r="AB15" i="7"/>
  <c r="AA15" i="7"/>
  <c r="AC14" i="7"/>
  <c r="AB14" i="7"/>
  <c r="AA14" i="7"/>
  <c r="AC13" i="7"/>
  <c r="AB13" i="7"/>
  <c r="AA13" i="7"/>
  <c r="AC12" i="7"/>
  <c r="AB12" i="7"/>
  <c r="AA12" i="7"/>
  <c r="AC11" i="7"/>
  <c r="AB11" i="7"/>
  <c r="AA11" i="7"/>
  <c r="AC10" i="7"/>
  <c r="AB10" i="7"/>
  <c r="AA10" i="7"/>
  <c r="AC9" i="7"/>
  <c r="AB9" i="7"/>
  <c r="AA9" i="7"/>
  <c r="AC8" i="7"/>
  <c r="AB8" i="7"/>
  <c r="AA8" i="7"/>
  <c r="AC7" i="7"/>
  <c r="AB7" i="7"/>
  <c r="AA7" i="7"/>
  <c r="AC6" i="7"/>
  <c r="AB6" i="7"/>
  <c r="AA6" i="7"/>
  <c r="AC5" i="7"/>
  <c r="AB5" i="7"/>
  <c r="AA5" i="7"/>
  <c r="AC4" i="7"/>
  <c r="AB4" i="7"/>
  <c r="AA4" i="7"/>
  <c r="L10" i="7"/>
  <c r="L9" i="7"/>
  <c r="G10" i="7"/>
  <c r="G9" i="7"/>
  <c r="B10" i="7"/>
  <c r="B9" i="7"/>
  <c r="B8" i="7"/>
  <c r="L25" i="7" l="1"/>
  <c r="G27" i="25"/>
  <c r="M27" i="25" s="1"/>
  <c r="AB24" i="7"/>
  <c r="AA24" i="7"/>
  <c r="L8" i="7"/>
  <c r="Q9" i="7"/>
  <c r="H13" i="25"/>
  <c r="N13" i="25" s="1"/>
  <c r="AC24" i="7"/>
  <c r="G8" i="7"/>
  <c r="G23" i="25"/>
  <c r="M23" i="25" s="1"/>
  <c r="H16" i="25" l="1"/>
  <c r="N16" i="25" s="1"/>
  <c r="G10" i="25"/>
  <c r="M10" i="25" s="1"/>
  <c r="G8" i="25"/>
  <c r="M8" i="25" s="1"/>
  <c r="G26" i="25"/>
  <c r="M26" i="25" s="1"/>
  <c r="G21" i="25"/>
  <c r="M21" i="25" s="1"/>
  <c r="G25" i="25"/>
  <c r="M25" i="25" s="1"/>
  <c r="G22" i="25"/>
  <c r="M22" i="25" s="1"/>
  <c r="G11" i="25"/>
  <c r="M11" i="25" s="1"/>
  <c r="G9" i="25"/>
  <c r="M9" i="25" s="1"/>
  <c r="S27" i="25"/>
  <c r="G17" i="25"/>
  <c r="M17" i="25" s="1"/>
  <c r="L23" i="7"/>
  <c r="G23" i="7"/>
  <c r="J15" i="25"/>
  <c r="P15" i="25" s="1"/>
  <c r="H27" i="25"/>
  <c r="N27" i="25" s="1"/>
  <c r="H10" i="25"/>
  <c r="H14" i="25"/>
  <c r="N14" i="25" s="1"/>
  <c r="G20" i="25"/>
  <c r="M20" i="25" s="1"/>
  <c r="H18" i="25"/>
  <c r="N18" i="25" s="1"/>
  <c r="H23" i="25"/>
  <c r="N23" i="25" s="1"/>
  <c r="H22" i="25"/>
  <c r="H19" i="25"/>
  <c r="N19" i="25" s="1"/>
  <c r="I13" i="25"/>
  <c r="O13" i="25" s="1"/>
  <c r="T13" i="25"/>
  <c r="G24" i="25"/>
  <c r="M24" i="25" s="1"/>
  <c r="H26" i="25"/>
  <c r="H8" i="25"/>
  <c r="G16" i="7"/>
  <c r="L16" i="7"/>
  <c r="Q25" i="7"/>
  <c r="L6" i="7"/>
  <c r="G6" i="7"/>
  <c r="L7" i="7"/>
  <c r="G7" i="7"/>
  <c r="M9" i="7"/>
  <c r="H9" i="7"/>
  <c r="G25" i="7"/>
  <c r="G20" i="7"/>
  <c r="L20" i="7"/>
  <c r="G21" i="7"/>
  <c r="L21" i="7"/>
  <c r="L19" i="7"/>
  <c r="G19" i="7"/>
  <c r="B19" i="7"/>
  <c r="V10" i="7"/>
  <c r="Q10" i="7"/>
  <c r="L18" i="7"/>
  <c r="G18" i="7"/>
  <c r="B4" i="7"/>
  <c r="Q8" i="7"/>
  <c r="V8" i="7"/>
  <c r="N22" i="25" l="1"/>
  <c r="N8" i="25"/>
  <c r="T8" i="25" s="1"/>
  <c r="N10" i="25"/>
  <c r="T10" i="25" s="1"/>
  <c r="N26" i="25"/>
  <c r="H25" i="25"/>
  <c r="N25" i="25" s="1"/>
  <c r="H11" i="25"/>
  <c r="N11" i="25" s="1"/>
  <c r="I16" i="25"/>
  <c r="O16" i="25" s="1"/>
  <c r="S22" i="25"/>
  <c r="H21" i="25"/>
  <c r="N21" i="25" s="1"/>
  <c r="S21" i="25"/>
  <c r="H9" i="25"/>
  <c r="N9" i="25" s="1"/>
  <c r="S8" i="25"/>
  <c r="I27" i="25"/>
  <c r="O27" i="25" s="1"/>
  <c r="H17" i="25"/>
  <c r="N17" i="25" s="1"/>
  <c r="K15" i="25"/>
  <c r="Q15" i="25" s="1"/>
  <c r="V15" i="25"/>
  <c r="J13" i="25"/>
  <c r="P13" i="25" s="1"/>
  <c r="I23" i="25"/>
  <c r="O23" i="25" s="1"/>
  <c r="I26" i="25"/>
  <c r="I10" i="25"/>
  <c r="B23" i="7"/>
  <c r="T27" i="25"/>
  <c r="I22" i="25"/>
  <c r="H24" i="25"/>
  <c r="N24" i="25" s="1"/>
  <c r="H20" i="25"/>
  <c r="N20" i="25" s="1"/>
  <c r="I18" i="25"/>
  <c r="O18" i="25" s="1"/>
  <c r="I14" i="25"/>
  <c r="O14" i="25" s="1"/>
  <c r="I8" i="25"/>
  <c r="I19" i="25"/>
  <c r="O19" i="25" s="1"/>
  <c r="B16" i="7"/>
  <c r="S11" i="25"/>
  <c r="S26" i="25"/>
  <c r="S25" i="25"/>
  <c r="S17" i="25"/>
  <c r="S10" i="25"/>
  <c r="G28" i="25"/>
  <c r="S23" i="25"/>
  <c r="D22" i="7"/>
  <c r="J8" i="7"/>
  <c r="O8" i="7"/>
  <c r="E8" i="7"/>
  <c r="H8" i="7"/>
  <c r="I8" i="7"/>
  <c r="M8" i="7"/>
  <c r="N8" i="7"/>
  <c r="C8" i="7"/>
  <c r="D8" i="7"/>
  <c r="M7" i="7"/>
  <c r="H6" i="7"/>
  <c r="M6" i="7"/>
  <c r="H7" i="7"/>
  <c r="B7" i="7"/>
  <c r="B17" i="7"/>
  <c r="C17" i="7"/>
  <c r="C9" i="7"/>
  <c r="L17" i="7"/>
  <c r="M17" i="7"/>
  <c r="H17" i="7"/>
  <c r="G17" i="7"/>
  <c r="B6" i="7"/>
  <c r="P8" i="7"/>
  <c r="P22" i="7"/>
  <c r="H20" i="7"/>
  <c r="K22" i="7"/>
  <c r="K8" i="7"/>
  <c r="Q20" i="7"/>
  <c r="B20" i="7"/>
  <c r="B21" i="7"/>
  <c r="E9" i="7"/>
  <c r="D9" i="7"/>
  <c r="J9" i="7"/>
  <c r="I9" i="7"/>
  <c r="M20" i="7"/>
  <c r="C20" i="7"/>
  <c r="N9" i="7"/>
  <c r="O9" i="7"/>
  <c r="N22" i="7"/>
  <c r="M22" i="7"/>
  <c r="O22" i="7"/>
  <c r="L22" i="7"/>
  <c r="H22" i="7"/>
  <c r="G22" i="7"/>
  <c r="J22" i="7"/>
  <c r="I22" i="7"/>
  <c r="E22" i="7"/>
  <c r="C22" i="7"/>
  <c r="B22" i="7"/>
  <c r="F23" i="7"/>
  <c r="E23" i="7"/>
  <c r="D23" i="7"/>
  <c r="C23" i="7"/>
  <c r="F20" i="7"/>
  <c r="D20" i="7"/>
  <c r="E20" i="7"/>
  <c r="E21" i="7"/>
  <c r="K23" i="7"/>
  <c r="H23" i="7"/>
  <c r="I23" i="7"/>
  <c r="O20" i="7"/>
  <c r="N20" i="7"/>
  <c r="P20" i="7"/>
  <c r="Q19" i="7"/>
  <c r="N21" i="7"/>
  <c r="O21" i="7"/>
  <c r="P21" i="7"/>
  <c r="M21" i="7"/>
  <c r="V9" i="7"/>
  <c r="N23" i="7"/>
  <c r="P23" i="7"/>
  <c r="O23" i="7"/>
  <c r="M23" i="7"/>
  <c r="J20" i="7"/>
  <c r="I20" i="7"/>
  <c r="K20" i="7"/>
  <c r="C6" i="7"/>
  <c r="H21" i="7"/>
  <c r="K21" i="7"/>
  <c r="J21" i="7"/>
  <c r="I21" i="7"/>
  <c r="J23" i="7"/>
  <c r="D21" i="7"/>
  <c r="C21" i="7"/>
  <c r="F21" i="7"/>
  <c r="B5" i="7"/>
  <c r="C5" i="7"/>
  <c r="D5" i="7"/>
  <c r="E19" i="7"/>
  <c r="C19" i="7"/>
  <c r="D19" i="7"/>
  <c r="F19" i="7"/>
  <c r="L5" i="7"/>
  <c r="M5" i="7"/>
  <c r="N5" i="7"/>
  <c r="O17" i="7"/>
  <c r="N17" i="7"/>
  <c r="P17" i="7"/>
  <c r="P19" i="7"/>
  <c r="M19" i="7"/>
  <c r="N19" i="7"/>
  <c r="O19" i="7"/>
  <c r="G5" i="7"/>
  <c r="H5" i="7"/>
  <c r="I5" i="7"/>
  <c r="I17" i="7"/>
  <c r="K17" i="7"/>
  <c r="J17" i="7"/>
  <c r="B18" i="7"/>
  <c r="F17" i="7"/>
  <c r="D17" i="7"/>
  <c r="E17" i="7"/>
  <c r="H19" i="7"/>
  <c r="K19" i="7"/>
  <c r="I19" i="7"/>
  <c r="J19" i="7"/>
  <c r="H4" i="7"/>
  <c r="G4" i="7"/>
  <c r="K4" i="7"/>
  <c r="J4" i="7"/>
  <c r="I4" i="7"/>
  <c r="F8" i="7"/>
  <c r="C7" i="7"/>
  <c r="L4" i="7"/>
  <c r="O4" i="7"/>
  <c r="N4" i="7"/>
  <c r="P4" i="7"/>
  <c r="M4" i="7"/>
  <c r="F4" i="7"/>
  <c r="D4" i="7"/>
  <c r="C4" i="7"/>
  <c r="E4" i="7"/>
  <c r="P9" i="7"/>
  <c r="F9" i="7"/>
  <c r="M11" i="7"/>
  <c r="O11" i="7"/>
  <c r="N11" i="7"/>
  <c r="P11" i="7"/>
  <c r="L11" i="7"/>
  <c r="C10" i="7"/>
  <c r="E10" i="7"/>
  <c r="F10" i="7"/>
  <c r="D10" i="7"/>
  <c r="L14" i="7"/>
  <c r="M14" i="7"/>
  <c r="N14" i="7"/>
  <c r="O14" i="7"/>
  <c r="P14" i="7"/>
  <c r="E16" i="7"/>
  <c r="D16" i="7"/>
  <c r="F16" i="7"/>
  <c r="C16" i="7"/>
  <c r="G15" i="7"/>
  <c r="K15" i="7"/>
  <c r="H15" i="7"/>
  <c r="J15" i="7"/>
  <c r="I15" i="7"/>
  <c r="D6" i="7"/>
  <c r="F6" i="7"/>
  <c r="E6" i="7"/>
  <c r="B12" i="7"/>
  <c r="C12" i="7"/>
  <c r="F12" i="7"/>
  <c r="D12" i="7"/>
  <c r="E12" i="7"/>
  <c r="P10" i="7"/>
  <c r="M10" i="7"/>
  <c r="N10" i="7"/>
  <c r="O10" i="7"/>
  <c r="E5" i="7"/>
  <c r="F5" i="7"/>
  <c r="H16" i="7"/>
  <c r="K16" i="7"/>
  <c r="J16" i="7"/>
  <c r="I16" i="7"/>
  <c r="L15" i="7"/>
  <c r="M15" i="7"/>
  <c r="P15" i="7"/>
  <c r="O15" i="7"/>
  <c r="N15" i="7"/>
  <c r="B13" i="7"/>
  <c r="D13" i="7"/>
  <c r="F13" i="7"/>
  <c r="E13" i="7"/>
  <c r="C13" i="7"/>
  <c r="N6" i="7"/>
  <c r="P6" i="7"/>
  <c r="O6" i="7"/>
  <c r="E7" i="7"/>
  <c r="D7" i="7"/>
  <c r="F7" i="7"/>
  <c r="P18" i="7"/>
  <c r="N18" i="7"/>
  <c r="O18" i="7"/>
  <c r="M18" i="7"/>
  <c r="K9" i="7"/>
  <c r="F18" i="7"/>
  <c r="E18" i="7"/>
  <c r="C18" i="7"/>
  <c r="D18" i="7"/>
  <c r="K11" i="7"/>
  <c r="G11" i="7"/>
  <c r="H11" i="7"/>
  <c r="I11" i="7"/>
  <c r="J11" i="7"/>
  <c r="H10" i="7"/>
  <c r="J10" i="7"/>
  <c r="K10" i="7"/>
  <c r="I10" i="7"/>
  <c r="B14" i="7"/>
  <c r="E14" i="7"/>
  <c r="C14" i="7"/>
  <c r="D14" i="7"/>
  <c r="F14" i="7"/>
  <c r="P5" i="7"/>
  <c r="O5" i="7"/>
  <c r="N16" i="7"/>
  <c r="M16" i="7"/>
  <c r="O16" i="7"/>
  <c r="P16" i="7"/>
  <c r="G13" i="7"/>
  <c r="J13" i="7"/>
  <c r="I13" i="7"/>
  <c r="K13" i="7"/>
  <c r="H13" i="7"/>
  <c r="F22" i="7"/>
  <c r="I6" i="7"/>
  <c r="K6" i="7"/>
  <c r="J6" i="7"/>
  <c r="L12" i="7"/>
  <c r="M12" i="7"/>
  <c r="N12" i="7"/>
  <c r="P12" i="7"/>
  <c r="O12" i="7"/>
  <c r="N7" i="7"/>
  <c r="O7" i="7"/>
  <c r="P7" i="7"/>
  <c r="H18" i="7"/>
  <c r="J18" i="7"/>
  <c r="I18" i="7"/>
  <c r="K18" i="7"/>
  <c r="B11" i="7"/>
  <c r="F11" i="7"/>
  <c r="E11" i="7"/>
  <c r="C11" i="7"/>
  <c r="D11" i="7"/>
  <c r="K14" i="7"/>
  <c r="G14" i="7"/>
  <c r="H14" i="7"/>
  <c r="J14" i="7"/>
  <c r="I14" i="7"/>
  <c r="K5" i="7"/>
  <c r="J5" i="7"/>
  <c r="B15" i="7"/>
  <c r="E15" i="7"/>
  <c r="D15" i="7"/>
  <c r="C15" i="7"/>
  <c r="F15" i="7"/>
  <c r="M13" i="7"/>
  <c r="L13" i="7"/>
  <c r="N13" i="7"/>
  <c r="O13" i="7"/>
  <c r="P13" i="7"/>
  <c r="J12" i="7"/>
  <c r="G12" i="7"/>
  <c r="H12" i="7"/>
  <c r="I12" i="7"/>
  <c r="K12" i="7"/>
  <c r="J7" i="7"/>
  <c r="K7" i="7"/>
  <c r="I7" i="7"/>
  <c r="O26" i="25" l="1"/>
  <c r="U26" i="25" s="1"/>
  <c r="O8" i="25"/>
  <c r="O22" i="25"/>
  <c r="O10" i="25"/>
  <c r="U10" i="25" s="1"/>
  <c r="I17" i="25"/>
  <c r="J27" i="25"/>
  <c r="P27" i="25" s="1"/>
  <c r="I25" i="25"/>
  <c r="O25" i="25" s="1"/>
  <c r="U16" i="25"/>
  <c r="I11" i="25"/>
  <c r="O11" i="25" s="1"/>
  <c r="T16" i="25"/>
  <c r="S9" i="25"/>
  <c r="J16" i="25"/>
  <c r="P16" i="25" s="1"/>
  <c r="I9" i="25"/>
  <c r="O9" i="25" s="1"/>
  <c r="I21" i="25"/>
  <c r="O21" i="25" s="1"/>
  <c r="T21" i="25"/>
  <c r="K13" i="25"/>
  <c r="Q13" i="25" s="1"/>
  <c r="J23" i="25"/>
  <c r="P23" i="25" s="1"/>
  <c r="U23" i="25"/>
  <c r="J8" i="25"/>
  <c r="J10" i="25"/>
  <c r="J25" i="25"/>
  <c r="J26" i="25"/>
  <c r="P26" i="25" s="1"/>
  <c r="J17" i="25"/>
  <c r="I24" i="25"/>
  <c r="O24" i="25" s="1"/>
  <c r="V23" i="7"/>
  <c r="Q23" i="7"/>
  <c r="W15" i="25"/>
  <c r="T11" i="25"/>
  <c r="T20" i="25"/>
  <c r="H28" i="25"/>
  <c r="T23" i="25"/>
  <c r="S24" i="25"/>
  <c r="U19" i="25"/>
  <c r="T26" i="25"/>
  <c r="I20" i="25"/>
  <c r="O20" i="25" s="1"/>
  <c r="T14" i="25"/>
  <c r="J14" i="25"/>
  <c r="P14" i="25" s="1"/>
  <c r="T18" i="25"/>
  <c r="J18" i="25"/>
  <c r="P18" i="25" s="1"/>
  <c r="T22" i="25"/>
  <c r="J22" i="25"/>
  <c r="S20" i="25"/>
  <c r="T19" i="25"/>
  <c r="J19" i="25"/>
  <c r="P19" i="25" s="1"/>
  <c r="U13" i="25"/>
  <c r="Q16" i="7"/>
  <c r="V16" i="7"/>
  <c r="M28" i="25"/>
  <c r="R8" i="7"/>
  <c r="S8" i="7"/>
  <c r="R7" i="7"/>
  <c r="B24" i="7"/>
  <c r="Q17" i="7"/>
  <c r="R17" i="7"/>
  <c r="Q7" i="7"/>
  <c r="V7" i="7"/>
  <c r="Q6" i="7"/>
  <c r="V6" i="7"/>
  <c r="W9" i="7"/>
  <c r="R9" i="7"/>
  <c r="R20" i="7"/>
  <c r="U22" i="7"/>
  <c r="V20" i="7"/>
  <c r="T8" i="7"/>
  <c r="V21" i="7"/>
  <c r="Q21" i="7"/>
  <c r="T9" i="7"/>
  <c r="S9" i="7"/>
  <c r="V22" i="7"/>
  <c r="X22" i="7"/>
  <c r="W22" i="7"/>
  <c r="Y22" i="7"/>
  <c r="Q22" i="7"/>
  <c r="T22" i="7"/>
  <c r="S22" i="7"/>
  <c r="R22" i="7"/>
  <c r="V19" i="7"/>
  <c r="U23" i="7"/>
  <c r="S23" i="7"/>
  <c r="T23" i="7"/>
  <c r="R23" i="7"/>
  <c r="R6" i="7"/>
  <c r="U20" i="7"/>
  <c r="S20" i="7"/>
  <c r="T20" i="7"/>
  <c r="S21" i="7"/>
  <c r="T21" i="7"/>
  <c r="U21" i="7"/>
  <c r="R21" i="7"/>
  <c r="T17" i="7"/>
  <c r="U17" i="7"/>
  <c r="S17" i="7"/>
  <c r="S19" i="7"/>
  <c r="T19" i="7"/>
  <c r="R19" i="7"/>
  <c r="U19" i="7"/>
  <c r="V18" i="7"/>
  <c r="Q18" i="7"/>
  <c r="Y5" i="7"/>
  <c r="Q5" i="7"/>
  <c r="S5" i="7"/>
  <c r="R5" i="7"/>
  <c r="V4" i="7"/>
  <c r="Z4" i="7"/>
  <c r="W4" i="7"/>
  <c r="X4" i="7"/>
  <c r="Y4" i="7"/>
  <c r="U4" i="7"/>
  <c r="Q4" i="7"/>
  <c r="S4" i="7"/>
  <c r="T4" i="7"/>
  <c r="R4" i="7"/>
  <c r="U8" i="7"/>
  <c r="R11" i="7"/>
  <c r="Q11" i="7"/>
  <c r="T11" i="7"/>
  <c r="U11" i="7"/>
  <c r="S11" i="7"/>
  <c r="Q15" i="7"/>
  <c r="R15" i="7"/>
  <c r="T15" i="7"/>
  <c r="U15" i="7"/>
  <c r="S15" i="7"/>
  <c r="K24" i="7"/>
  <c r="S14" i="7"/>
  <c r="T14" i="7"/>
  <c r="Q14" i="7"/>
  <c r="R14" i="7"/>
  <c r="U14" i="7"/>
  <c r="S18" i="7"/>
  <c r="R18" i="7"/>
  <c r="U18" i="7"/>
  <c r="T18" i="7"/>
  <c r="T5" i="7"/>
  <c r="U5" i="7"/>
  <c r="Z22" i="7"/>
  <c r="P24" i="7"/>
  <c r="H24" i="7"/>
  <c r="F24" i="7"/>
  <c r="E24" i="7"/>
  <c r="M24" i="7"/>
  <c r="G24" i="7"/>
  <c r="V13" i="7"/>
  <c r="Z13" i="7"/>
  <c r="X13" i="7"/>
  <c r="Y13" i="7"/>
  <c r="W13" i="7"/>
  <c r="W10" i="7"/>
  <c r="Z10" i="7"/>
  <c r="X10" i="7"/>
  <c r="Y10" i="7"/>
  <c r="R10" i="7"/>
  <c r="U10" i="7"/>
  <c r="T10" i="7"/>
  <c r="S10" i="7"/>
  <c r="L24" i="7"/>
  <c r="U9" i="7"/>
  <c r="J24" i="7"/>
  <c r="R12" i="7"/>
  <c r="T12" i="7"/>
  <c r="U12" i="7"/>
  <c r="Q12" i="7"/>
  <c r="S12" i="7"/>
  <c r="U6" i="7"/>
  <c r="S6" i="7"/>
  <c r="T6" i="7"/>
  <c r="R16" i="7"/>
  <c r="U16" i="7"/>
  <c r="S16" i="7"/>
  <c r="T16" i="7"/>
  <c r="I24" i="7"/>
  <c r="O24" i="7"/>
  <c r="U7" i="7"/>
  <c r="T7" i="7"/>
  <c r="S7" i="7"/>
  <c r="N24" i="7"/>
  <c r="Q13" i="7"/>
  <c r="R13" i="7"/>
  <c r="T13" i="7"/>
  <c r="S13" i="7"/>
  <c r="U13" i="7"/>
  <c r="D24" i="7"/>
  <c r="C24" i="7"/>
  <c r="P10" i="25" l="1"/>
  <c r="P25" i="25"/>
  <c r="P22" i="25"/>
  <c r="K27" i="25"/>
  <c r="Q27" i="25" s="1"/>
  <c r="O17" i="25"/>
  <c r="P17" i="25" s="1"/>
  <c r="P8" i="25"/>
  <c r="V8" i="25" s="1"/>
  <c r="J21" i="25"/>
  <c r="P21" i="25" s="1"/>
  <c r="Q21" i="25" s="1"/>
  <c r="U11" i="25"/>
  <c r="J9" i="25"/>
  <c r="P9" i="25" s="1"/>
  <c r="Q9" i="25" s="1"/>
  <c r="J11" i="25"/>
  <c r="P11" i="25" s="1"/>
  <c r="V16" i="25"/>
  <c r="V26" i="25"/>
  <c r="V25" i="25"/>
  <c r="T17" i="25"/>
  <c r="U27" i="25"/>
  <c r="T25" i="25"/>
  <c r="V27" i="25"/>
  <c r="U25" i="25"/>
  <c r="V10" i="25"/>
  <c r="V22" i="25"/>
  <c r="T9" i="25"/>
  <c r="K21" i="25"/>
  <c r="K9" i="25"/>
  <c r="K16" i="25"/>
  <c r="Q16" i="25" s="1"/>
  <c r="K10" i="25"/>
  <c r="Q10" i="25" s="1"/>
  <c r="K17" i="25"/>
  <c r="K8" i="25"/>
  <c r="K26" i="25"/>
  <c r="Q26" i="25" s="1"/>
  <c r="K23" i="25"/>
  <c r="Q23" i="25" s="1"/>
  <c r="V23" i="25"/>
  <c r="K25" i="25"/>
  <c r="Q25" i="25" s="1"/>
  <c r="J24" i="25"/>
  <c r="P24" i="25" s="1"/>
  <c r="U24" i="25"/>
  <c r="I28" i="25"/>
  <c r="U20" i="25"/>
  <c r="S28" i="25"/>
  <c r="V14" i="25"/>
  <c r="T24" i="25"/>
  <c r="N28" i="25"/>
  <c r="V18" i="25"/>
  <c r="V19" i="25"/>
  <c r="U18" i="25"/>
  <c r="U14" i="25"/>
  <c r="K18" i="25"/>
  <c r="Q18" i="25" s="1"/>
  <c r="K14" i="25"/>
  <c r="Q14" i="25" s="1"/>
  <c r="U22" i="25"/>
  <c r="K22" i="25"/>
  <c r="U8" i="25"/>
  <c r="W13" i="25"/>
  <c r="V13" i="25"/>
  <c r="J20" i="25"/>
  <c r="P20" i="25" s="1"/>
  <c r="K19" i="25"/>
  <c r="Q19" i="25" s="1"/>
  <c r="Y8" i="7"/>
  <c r="W8" i="7"/>
  <c r="X8" i="7"/>
  <c r="W7" i="7"/>
  <c r="Z9" i="7"/>
  <c r="W6" i="7"/>
  <c r="V17" i="7"/>
  <c r="W17" i="7"/>
  <c r="W20" i="7"/>
  <c r="Z6" i="7"/>
  <c r="X7" i="7"/>
  <c r="Z7" i="7"/>
  <c r="Z5" i="7"/>
  <c r="Z21" i="7"/>
  <c r="Z8" i="7"/>
  <c r="Y21" i="7"/>
  <c r="X21" i="7"/>
  <c r="W21" i="7"/>
  <c r="Y18" i="7"/>
  <c r="X18" i="7"/>
  <c r="W18" i="7"/>
  <c r="Z18" i="7"/>
  <c r="X9" i="7"/>
  <c r="Y9" i="7"/>
  <c r="Y7" i="7"/>
  <c r="X6" i="7"/>
  <c r="Y6" i="7"/>
  <c r="Z23" i="7"/>
  <c r="Y23" i="7"/>
  <c r="X23" i="7"/>
  <c r="W23" i="7"/>
  <c r="Z20" i="7"/>
  <c r="Y20" i="7"/>
  <c r="X20" i="7"/>
  <c r="V5" i="7"/>
  <c r="X5" i="7"/>
  <c r="W5" i="7"/>
  <c r="Y19" i="7"/>
  <c r="X19" i="7"/>
  <c r="W19" i="7"/>
  <c r="Z19" i="7"/>
  <c r="Z17" i="7"/>
  <c r="X17" i="7"/>
  <c r="Y17" i="7"/>
  <c r="S24" i="7"/>
  <c r="W12" i="7"/>
  <c r="V12" i="7"/>
  <c r="X12" i="7"/>
  <c r="Z12" i="7"/>
  <c r="Y12" i="7"/>
  <c r="T24" i="7"/>
  <c r="Q24" i="7"/>
  <c r="X14" i="7"/>
  <c r="V14" i="7"/>
  <c r="Z14" i="7"/>
  <c r="W14" i="7"/>
  <c r="Y14" i="7"/>
  <c r="R24" i="7"/>
  <c r="V11" i="7"/>
  <c r="W11" i="7"/>
  <c r="Y11" i="7"/>
  <c r="Z11" i="7"/>
  <c r="X11" i="7"/>
  <c r="W15" i="7"/>
  <c r="V15" i="7"/>
  <c r="X15" i="7"/>
  <c r="Y15" i="7"/>
  <c r="Z15" i="7"/>
  <c r="Y16" i="7"/>
  <c r="W16" i="7"/>
  <c r="X16" i="7"/>
  <c r="Z16" i="7"/>
  <c r="U24" i="7"/>
  <c r="Q17" i="25" l="1"/>
  <c r="W17" i="25" s="1"/>
  <c r="K11" i="25"/>
  <c r="W27" i="25"/>
  <c r="Q11" i="25"/>
  <c r="W11" i="25" s="1"/>
  <c r="V11" i="25"/>
  <c r="U17" i="25"/>
  <c r="Q8" i="25"/>
  <c r="W8" i="25" s="1"/>
  <c r="Q22" i="25"/>
  <c r="W26" i="25"/>
  <c r="W16" i="25"/>
  <c r="T28" i="25"/>
  <c r="W21" i="25"/>
  <c r="W25" i="25"/>
  <c r="U21" i="25"/>
  <c r="W9" i="25"/>
  <c r="V21" i="25"/>
  <c r="W10" i="25"/>
  <c r="V9" i="25"/>
  <c r="V17" i="25"/>
  <c r="U9" i="25"/>
  <c r="W23" i="25"/>
  <c r="K24" i="25"/>
  <c r="Q24" i="25" s="1"/>
  <c r="V24" i="25"/>
  <c r="O28" i="25"/>
  <c r="V20" i="25"/>
  <c r="W14" i="25"/>
  <c r="J28" i="25"/>
  <c r="W18" i="25"/>
  <c r="K20" i="25"/>
  <c r="Q20" i="25" s="1"/>
  <c r="W19" i="25"/>
  <c r="W24" i="7"/>
  <c r="Y24" i="7"/>
  <c r="X24" i="7"/>
  <c r="Z24" i="7"/>
  <c r="V24" i="7"/>
  <c r="U28" i="25" l="1"/>
  <c r="W24" i="25"/>
  <c r="V28" i="25"/>
  <c r="P28" i="25"/>
  <c r="W20" i="25"/>
  <c r="K28" i="25"/>
  <c r="W22" i="25"/>
  <c r="Q28" i="25" l="1"/>
  <c r="W2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Federico Segura</author>
  </authors>
  <commentList>
    <comment ref="Z2" authorId="0" shapeId="0" xr:uid="{00000000-0006-0000-0000-000001000000}">
      <text>
        <r>
          <rPr>
            <b/>
            <sz val="14"/>
            <color indexed="81"/>
            <rFont val="Tahoma"/>
            <family val="2"/>
          </rPr>
          <t>¿Puede teletrabajar con los medios de los que dispone? (Tener en cuenta que ha podido dejarse el equipamiento en el edificio afectado</t>
        </r>
        <r>
          <rPr>
            <sz val="14"/>
            <color indexed="81"/>
            <rFont val="Tahoma"/>
            <family val="2"/>
          </rPr>
          <t xml:space="preserve">
</t>
        </r>
      </text>
    </comment>
  </commentList>
</comments>
</file>

<file path=xl/sharedStrings.xml><?xml version="1.0" encoding="utf-8"?>
<sst xmlns="http://schemas.openxmlformats.org/spreadsheetml/2006/main" count="8767" uniqueCount="1685">
  <si>
    <t>SEGUIMIENTO EN CONTINGENCIA</t>
  </si>
  <si>
    <t>Ordenar por Criticidad</t>
  </si>
  <si>
    <t>Ordenar por Función</t>
  </si>
  <si>
    <t>Equipo</t>
  </si>
  <si>
    <t>Función Crítica</t>
  </si>
  <si>
    <t>Perfil de la Función</t>
  </si>
  <si>
    <t>Cód. Emp.</t>
  </si>
  <si>
    <t>Criticidad</t>
  </si>
  <si>
    <t>Nombre</t>
  </si>
  <si>
    <t>Estrategia Por Defecto</t>
  </si>
  <si>
    <t>Teléfonos</t>
  </si>
  <si>
    <t>Telfs. Privados</t>
  </si>
  <si>
    <t>Emails</t>
  </si>
  <si>
    <t>Cód. Edificio</t>
  </si>
  <si>
    <t>Ubicación</t>
  </si>
  <si>
    <t>Planta</t>
  </si>
  <si>
    <t>Móvil</t>
  </si>
  <si>
    <t>Tarifa</t>
  </si>
  <si>
    <t>Provincia</t>
  </si>
  <si>
    <t>¿Locali-
zado?</t>
  </si>
  <si>
    <t>Medio de Localización</t>
  </si>
  <si>
    <t>Fecha</t>
  </si>
  <si>
    <t>Hora</t>
  </si>
  <si>
    <t>¿Puede Teletrabajar?</t>
  </si>
  <si>
    <t>Estrategia Definida</t>
  </si>
  <si>
    <t>Comentarios</t>
  </si>
  <si>
    <t>0. Responsable</t>
  </si>
  <si>
    <t>RESP</t>
  </si>
  <si>
    <t>00. Coordinador</t>
  </si>
  <si>
    <t>CAN</t>
  </si>
  <si>
    <t>00. Sustituto del Coordinador</t>
  </si>
  <si>
    <t>BCAN</t>
  </si>
  <si>
    <t>01. Consultas ligadas a plazos legales
02. Consultas no ligadas a plazos legales
03. Gestión y seguimiento de actividades para el funcionamiento de los Órganos de Gobierno</t>
  </si>
  <si>
    <t>9. Perfil Único</t>
  </si>
  <si>
    <t>4h</t>
  </si>
  <si>
    <t>Backup1</t>
  </si>
  <si>
    <t>6B</t>
  </si>
  <si>
    <t>1. Dirección</t>
  </si>
  <si>
    <t>01. Cumplimiento Normativo. Análisis de operativa de prevención de blanqueo de capitales (PBC).
02. Cumplimiento Normativo. Gestión de conflictos de interés
03. Cumplimiento Normativo. Gestión del riesgo reputacional
04. Cumplimiento Normativo. Actuaciones de código ético y prevención de delitos</t>
  </si>
  <si>
    <t>2. Staff Cumplimiento Normativo</t>
  </si>
  <si>
    <t>48h</t>
  </si>
  <si>
    <t>1s</t>
  </si>
  <si>
    <t>05. Auditoría Interna. Canal de denuncias
06. Auditoría Interna. Gestión del Plan Auditor</t>
  </si>
  <si>
    <t>3. Staff Auditoría Interna</t>
  </si>
  <si>
    <t>4. Staff Control Interno</t>
  </si>
  <si>
    <t>2s</t>
  </si>
  <si>
    <t>Ext. Área</t>
  </si>
  <si>
    <t>No aplica</t>
  </si>
  <si>
    <t>Ext. HRE</t>
  </si>
  <si>
    <t>Apreblanc Asesores (Francisco José López Ruiz)</t>
  </si>
  <si>
    <t>flopez@apreblanc.com</t>
  </si>
  <si>
    <t>Preventia Management Solutions, SL (Óscar Bosch)</t>
  </si>
  <si>
    <t>oscarbosch@preventiasolutions.com</t>
  </si>
  <si>
    <t>Única</t>
  </si>
  <si>
    <t>1. Staff Facturación</t>
  </si>
  <si>
    <t>24h</t>
  </si>
  <si>
    <t>01. Gestión de Facturas de IBIs y Comunidades (Facturación)
02. Gestión de Facturas del proveedor (Facturación)
03. Centro contable de Bankia (Facturación)
04. Tramitación administrativa de facturas de clientes (Facturación)</t>
  </si>
  <si>
    <t>05. Compras y Gestión de Proveedores (Compras)</t>
  </si>
  <si>
    <t>2. Staff Compras y Gestión de Proveedores</t>
  </si>
  <si>
    <t>Backup2</t>
  </si>
  <si>
    <t>1. Staff Cajamar</t>
  </si>
  <si>
    <t>2. Staff Liberbank</t>
  </si>
  <si>
    <t>3. Staff Bankia y Sareb</t>
  </si>
  <si>
    <t>01. Análisis de datos (Comisionamiento)
02. Comisionamiento y facturación</t>
  </si>
  <si>
    <t>1. Staff Comisionamiento</t>
  </si>
  <si>
    <t>03. Contabilidad HRE</t>
  </si>
  <si>
    <t>2. Contabilidad</t>
  </si>
  <si>
    <t>Sin identificar</t>
  </si>
  <si>
    <t>01. Informes de reporting de negocio semanales/mensuales/anuales para clientes
02. Informes de reporting de negocio semanales/mensuales/anuales interno HRE</t>
  </si>
  <si>
    <t>03. Tesorería
04. Planificación y Análisis (Tesorería)</t>
  </si>
  <si>
    <t>2. Staff Planificación, Control y Tesorería</t>
  </si>
  <si>
    <t>01. Facturación de cuentas a cobrar y a pagar de arrendamientos en PRINEX
02. Remesa recibos de arrendamiento en cuenta bancaria Cliente
05. Contabilización de arrendamientos en sistemas de Cliente
06. Conciliación de cuentas bancarias Cliente
07. Gestión de impagados/deuda
08. Reporting a Cliente</t>
  </si>
  <si>
    <t>03. Atención de Canal</t>
  </si>
  <si>
    <t>01. Contencioso Gestión - Celebraciones de subastas (Cajamar y Sareb)
03. Contencioso Gestión - Comunicaciones modelo S11 (Cajamar)
07. Contencioso Gestión - Requerimientos de juzgado en plazo (Cajamar y Sareb)</t>
  </si>
  <si>
    <t>1. Staff Contencioso Gestión Cajamar</t>
  </si>
  <si>
    <t>01. Contencioso Gestión - Celebraciones de subastas (Cajamar y Sareb)</t>
  </si>
  <si>
    <t>2. Staff Contencioso Gestión Sareb</t>
  </si>
  <si>
    <t>02. Precontencioso - Gestión - Insinuaciones de créditos a concurso (30 días) (Cajamar)</t>
  </si>
  <si>
    <t>3. Staff Concursal Cajamar</t>
  </si>
  <si>
    <t>05. Contencioso Gestión - Contabilización de daciones, adjudicados y cobros (Cajamar)</t>
  </si>
  <si>
    <t>04. Contencioso Procesal - Requerimientos/señalamientos en plazo (juzgado) (Cajamar y Sareb)
07. Contencioso Gestión - Requerimientos de juzgado en plazo (Cajamar y Sareb)</t>
  </si>
  <si>
    <t>4. Staff Contencioso Procesal y Gestión Sareb</t>
  </si>
  <si>
    <t>04. Contencioso Procesal - Requerimientos/señalamientos en plazo (juzgado) (Cajamar y Sareb)</t>
  </si>
  <si>
    <t>5. Staff Contencioso Procesal Cajamar</t>
  </si>
  <si>
    <t>06.Contencioso Procesal - Peticiones de información (Cajamar)</t>
  </si>
  <si>
    <t>08. Precontencioso</t>
  </si>
  <si>
    <t>6. Staff Precontencioso Cajamar</t>
  </si>
  <si>
    <t>7. Staff Precontencioso Sareb</t>
  </si>
  <si>
    <t>Backup3</t>
  </si>
  <si>
    <t>08. Sincronizar los ficheros de contacto de clientes (vía web)</t>
  </si>
  <si>
    <t>09. Tratamiento de Leed</t>
  </si>
  <si>
    <t>07. Continuidad de los portales web (web, web oficina, web API)</t>
  </si>
  <si>
    <t>6. Proveedor</t>
  </si>
  <si>
    <t>Gesticontrol (Santiago Escalada)</t>
  </si>
  <si>
    <t>BPO (Sonia Sanfrutos)</t>
  </si>
  <si>
    <t>ssanfrutos@bpo.es </t>
  </si>
  <si>
    <t>1. Coordinador / Responsable de zona</t>
  </si>
  <si>
    <t>01. Comercial. Cierre de firmas
02. Técnica. Reuniones con clientes
03. Comercial. Tramitación de ofertas
04. Técnica. Reuniones de seguimiento
05. Técnica. Seguimiento de mediadores</t>
  </si>
  <si>
    <t>01. Comunicación del informe de la administración concursal para hacer alegaciones
02. Alegaciones al plan de liquidación
03. Requerimientos en plazo (juzgado)
05. Adhesión a convenio de acreedores
06. Precontencioso - Gestión - Insinuaciones de créditos a concurso (30 días) (Sareb)</t>
  </si>
  <si>
    <t>1. Staff Concursos</t>
  </si>
  <si>
    <t>04. Celebraciones de subastas</t>
  </si>
  <si>
    <t>2. Staff Subastas</t>
  </si>
  <si>
    <t>3. Staff Centro de Atención</t>
  </si>
  <si>
    <t>2. Staff Admisión</t>
  </si>
  <si>
    <t>1. Staff Administración</t>
  </si>
  <si>
    <t xml:space="preserve">GARSA: Milagros Rico   </t>
  </si>
  <si>
    <t>m.rico@garsa.com</t>
  </si>
  <si>
    <t>PINOS XXI: David Castaño</t>
  </si>
  <si>
    <t>davidc@pinosxxi.es</t>
  </si>
  <si>
    <t>1. Staff Gestión de Activos</t>
  </si>
  <si>
    <t>2. Proveedor</t>
  </si>
  <si>
    <t>-</t>
  </si>
  <si>
    <t>01. Abono de nóminas mensuales</t>
  </si>
  <si>
    <t>02. Gestión de acciones técnicas
03. Gestión de documentación y distribución
04. Circuito de Servicios Generales</t>
  </si>
  <si>
    <t>3B</t>
  </si>
  <si>
    <t>01. Tramitación de las propuestas de venta REOS (Bankia, Sareb y Cajamar) (NM)
02. Firma de reserva de REOS (Bankia, Sareb y Cajamar) (NM)
03. Tramitación de operaciones REOS y PDVS (Bankia, Sareb, Cajamar y Liberbank) (NM)</t>
  </si>
  <si>
    <t>04. Tratamiento de propuestas de fuerza de venta directa (FDV)
05. Soporte a comerciales y backoffice (FDV)
06. Carga de contactos a comerciales (FDV)
07. Reportes de actividades y seguimiento (FDV)</t>
  </si>
  <si>
    <t>Rocío Fernández (Constant)</t>
  </si>
  <si>
    <t>Begoña Cruzado</t>
  </si>
  <si>
    <t>bego.cruzado@ironmountain.com</t>
  </si>
  <si>
    <t>ACTIVADO</t>
  </si>
  <si>
    <t>Responsable del Área de Negocio</t>
  </si>
  <si>
    <t>Coordinador del Equipo</t>
  </si>
  <si>
    <t>Backup del Coordinador del Equipo</t>
  </si>
  <si>
    <t>Solo se ha localizado al Responsable</t>
  </si>
  <si>
    <t>Persona localizada</t>
  </si>
  <si>
    <t>Persona sin localizar</t>
  </si>
  <si>
    <t>CONFIGURACIÓN DE LOS DATOS DEL SEGUIMIENTO</t>
  </si>
  <si>
    <t>SEGUIMIENTO EN CONTINGENCIA DE LOCALIZACIÓN DEL PERSONAL CRÍTICO</t>
  </si>
  <si>
    <t>ACTIVAR FRANJAS DE CRITICIDAD</t>
  </si>
  <si>
    <t>ESTADO DE ACTIVACIÓN DE LA FRANJA</t>
  </si>
  <si>
    <t>*TODAS*</t>
  </si>
  <si>
    <t>Personal Crítico TOTAL</t>
  </si>
  <si>
    <t>Personal Crítico SIN LOCALIZAR</t>
  </si>
  <si>
    <t>Personal crítico de 4 horas</t>
  </si>
  <si>
    <t>Personal crítico de 24 horas</t>
  </si>
  <si>
    <t>Personal crítico de 48 horas</t>
  </si>
  <si>
    <t>Personal crítico de 1 semana</t>
  </si>
  <si>
    <t>Franja cubierta al 100% según previsión</t>
  </si>
  <si>
    <t>Franja pendiente de cubrir s. previsión</t>
  </si>
  <si>
    <t>NO BORRAR ESTO --&gt;</t>
  </si>
  <si>
    <t>MADRID</t>
  </si>
  <si>
    <t>VALENCIA</t>
  </si>
  <si>
    <t>ALMERÍA</t>
  </si>
  <si>
    <t>OTRAS UBICACIONES</t>
  </si>
  <si>
    <t>TOTAL</t>
  </si>
  <si>
    <t>ESTRATEGIA DE BACKUPS</t>
  </si>
  <si>
    <t>Backup Int. Área</t>
  </si>
  <si>
    <t>Backup Ext. Área</t>
  </si>
  <si>
    <t>Backup Ext. HRE</t>
  </si>
  <si>
    <t>Total Críticos</t>
  </si>
  <si>
    <t>Total Ubicación (Críticos + No críticos)</t>
  </si>
  <si>
    <t>Avenida Cabo de Gata, 23; 04007 Almería</t>
  </si>
  <si>
    <t>ALM01</t>
  </si>
  <si>
    <t>Jardín del Recreo, 4; 05001 Ávila</t>
  </si>
  <si>
    <t>AVI01</t>
  </si>
  <si>
    <t>Pelota, 17 esq. Cl Armas (Barrio de Vegueta); 35001 Las Palmas de Gran Canaria</t>
  </si>
  <si>
    <t>PAL01</t>
  </si>
  <si>
    <t>Avenida República Argentina, 10; 26002 Logroño</t>
  </si>
  <si>
    <t>LOG01</t>
  </si>
  <si>
    <t>Parque Empr. Cristalia-Vía de los Poblados, 3 Edif. 9; 28033 Madrid</t>
  </si>
  <si>
    <t>MAD01</t>
  </si>
  <si>
    <t>Avenida Alfonso X el sabio, 11, Local H, Entresuelo; 30008 Murcia</t>
  </si>
  <si>
    <t>MUR01</t>
  </si>
  <si>
    <t>PML01</t>
  </si>
  <si>
    <t>Maria Rosario Arias Allende</t>
  </si>
  <si>
    <t>Sí</t>
  </si>
  <si>
    <t>mrarias@haya.es</t>
  </si>
  <si>
    <t>Ana Suarez Garnelo</t>
  </si>
  <si>
    <t>asuarez@haya.es</t>
  </si>
  <si>
    <t>Jose Luis Conde Huelga</t>
  </si>
  <si>
    <t>jlconde@haya.es</t>
  </si>
  <si>
    <t>Miguel Martinez de Rioja Gardeazabal</t>
  </si>
  <si>
    <t>mmartinezr@haya.es</t>
  </si>
  <si>
    <t>No</t>
  </si>
  <si>
    <t>Maria Dolores Abello Ayala</t>
  </si>
  <si>
    <t>mabello@haya.es</t>
  </si>
  <si>
    <t>Isabel de la Rosa Diaz</t>
  </si>
  <si>
    <t>idelarosa@haya.es</t>
  </si>
  <si>
    <t>Eva Maria Guzman Sanchez</t>
  </si>
  <si>
    <t>eguzman@haya.es</t>
  </si>
  <si>
    <t>Inmaculada Sanchez Abad</t>
  </si>
  <si>
    <t>isancheza@haya.es</t>
  </si>
  <si>
    <t>Maria Miras Garcia</t>
  </si>
  <si>
    <t>mmiras@haya.es</t>
  </si>
  <si>
    <t>Carmen Alias Molina</t>
  </si>
  <si>
    <t>calias@haya.es</t>
  </si>
  <si>
    <t>Sergio Garcia Martinez</t>
  </si>
  <si>
    <t>sgarciam@haya.es</t>
  </si>
  <si>
    <t>Veronica Alvarez Santiago</t>
  </si>
  <si>
    <t>valvarez@haya.es</t>
  </si>
  <si>
    <t>Bernardo Jesus Diaz Carmona</t>
  </si>
  <si>
    <t>bdiaz@haya.es</t>
  </si>
  <si>
    <t>Agueda Maria Peregrin Carrasco</t>
  </si>
  <si>
    <t>aperegrin@haya.es</t>
  </si>
  <si>
    <t>Isabel Cano Ramos</t>
  </si>
  <si>
    <t>icano@haya.es</t>
  </si>
  <si>
    <t>Rosa Maria Maillo Regidor</t>
  </si>
  <si>
    <t>rmr@haya.es</t>
  </si>
  <si>
    <t>Maria Angeles Comes Rosado</t>
  </si>
  <si>
    <t>mcomes@haya.es</t>
  </si>
  <si>
    <t>Esther Sala Noverjes</t>
  </si>
  <si>
    <t>esalano@haya.es</t>
  </si>
  <si>
    <t>Brisa Calvo Bosch</t>
  </si>
  <si>
    <t>bcalvo@haya.es</t>
  </si>
  <si>
    <t>Pilar Casares Guna</t>
  </si>
  <si>
    <t>Luca Borgonovo</t>
  </si>
  <si>
    <t>Sofia Martinez Dominguez</t>
  </si>
  <si>
    <t>smartinezd@haya.es</t>
  </si>
  <si>
    <t>Antonio Zafra Cantero</t>
  </si>
  <si>
    <t>azc@haya.es</t>
  </si>
  <si>
    <t>Laura Carrascosa Cremades</t>
  </si>
  <si>
    <t>lcarrascosa@haya.es</t>
  </si>
  <si>
    <t>Jesus Cavero Fernandez</t>
  </si>
  <si>
    <t>jcavero@haya.es</t>
  </si>
  <si>
    <t>Julia Tormo Soler</t>
  </si>
  <si>
    <t>jtormo@haya.es</t>
  </si>
  <si>
    <t>Gabriel Jimenez Saz</t>
  </si>
  <si>
    <t>Maria del Carmen Lopez Samper</t>
  </si>
  <si>
    <t>mclopez@haya.es</t>
  </si>
  <si>
    <t>Diego Villar Sancho</t>
  </si>
  <si>
    <t>dvillar@haya.es</t>
  </si>
  <si>
    <t>Maria Angeles Gonzalez Martin</t>
  </si>
  <si>
    <t>mgonzalezm@haya.es</t>
  </si>
  <si>
    <t>Joaquin Herrera Vilar</t>
  </si>
  <si>
    <t>jherrera@haya.es</t>
  </si>
  <si>
    <t>Esther Camaño Vazquez de Prada</t>
  </si>
  <si>
    <t>ecamano@haya.es</t>
  </si>
  <si>
    <t>Giovanni Zingone</t>
  </si>
  <si>
    <t>gzingone@haya.es</t>
  </si>
  <si>
    <t>Laura Torices Salazar</t>
  </si>
  <si>
    <t>ltorices@haya.es</t>
  </si>
  <si>
    <t>Alba Marmol Szombathy</t>
  </si>
  <si>
    <t>amarmol@haya.es</t>
  </si>
  <si>
    <t>Claudia Muñoz Aly</t>
  </si>
  <si>
    <t>cmunoz@haya.es</t>
  </si>
  <si>
    <t>Victoria Peino Diaz</t>
  </si>
  <si>
    <t>vpeino@haya.es</t>
  </si>
  <si>
    <t>Silvia Sanchez Guiot</t>
  </si>
  <si>
    <t>ssg@haya.es</t>
  </si>
  <si>
    <t>Pedro Moliner Lopez</t>
  </si>
  <si>
    <t>pmoliner@haya.es</t>
  </si>
  <si>
    <t>Sara Broto Ventura</t>
  </si>
  <si>
    <t>sbroto@haya.es</t>
  </si>
  <si>
    <t>Ana Delgado Alcaide</t>
  </si>
  <si>
    <t>Barbara Zubiria Furest</t>
  </si>
  <si>
    <t>bzubiria@haya.es</t>
  </si>
  <si>
    <t>Juan Facundo Bacciadone</t>
  </si>
  <si>
    <t>jbacciadone@haya.es</t>
  </si>
  <si>
    <t>German De Pradena Carballido</t>
  </si>
  <si>
    <t>gpradena@haya.es</t>
  </si>
  <si>
    <t>Angel Custodio Ureña Hermosilla</t>
  </si>
  <si>
    <t>aurena@haya.es</t>
  </si>
  <si>
    <t>Eva Villarejo de la Torre</t>
  </si>
  <si>
    <t>Rosa Monte Hernandez</t>
  </si>
  <si>
    <t>rmh@haya.es</t>
  </si>
  <si>
    <t>Oscar Ramirez Cuesta</t>
  </si>
  <si>
    <t>oramirez@haya.es</t>
  </si>
  <si>
    <t>Clara Maria Berenguel Arnedo</t>
  </si>
  <si>
    <t>cberenguel@haya.es</t>
  </si>
  <si>
    <t>Amparo Botella Sanchez</t>
  </si>
  <si>
    <t>abotella@haya.es</t>
  </si>
  <si>
    <t>Agueda Tolosa Carmona</t>
  </si>
  <si>
    <t>atolosa@haya.es</t>
  </si>
  <si>
    <t>Joaquin Rodriguez Bausa</t>
  </si>
  <si>
    <t>jrodriguezb@haya.es</t>
  </si>
  <si>
    <t>Jose Andres Mena Crespo</t>
  </si>
  <si>
    <t>jmena@haya.es</t>
  </si>
  <si>
    <t>Jose Enrique Aranega Martinez</t>
  </si>
  <si>
    <t>jaranega@haya.es</t>
  </si>
  <si>
    <t>Alba Menendez Alvarez</t>
  </si>
  <si>
    <t>amenendeza@haya.es</t>
  </si>
  <si>
    <t>Placido Agudo Orozco</t>
  </si>
  <si>
    <t>pagudo@haya.es</t>
  </si>
  <si>
    <t>Jose Carlos Cordoba Amieiro</t>
  </si>
  <si>
    <t>jcordoba@haya.es</t>
  </si>
  <si>
    <t>Blanca Carrascosa Llinares</t>
  </si>
  <si>
    <t>bcarrascosa@haya.es</t>
  </si>
  <si>
    <t>Mario Roque Godoy Rosario</t>
  </si>
  <si>
    <t>mgodoy@haya.es</t>
  </si>
  <si>
    <t>Juan Manuel Fernandez Mico</t>
  </si>
  <si>
    <t>jfernandez@haya.es</t>
  </si>
  <si>
    <t>Paola Urquiza Martinez</t>
  </si>
  <si>
    <t>purquiza@haya.es</t>
  </si>
  <si>
    <t>Juan Mateo Perez</t>
  </si>
  <si>
    <t>jmateo@haya.es</t>
  </si>
  <si>
    <t>Santiago Uriel Arias</t>
  </si>
  <si>
    <t>suriel@haya.es</t>
  </si>
  <si>
    <t>Luis Gomez Cabezas</t>
  </si>
  <si>
    <t>lgomezc@haya.es</t>
  </si>
  <si>
    <t>Marco Selleri</t>
  </si>
  <si>
    <t>mselleri@haya.es</t>
  </si>
  <si>
    <t>Nicolas Generoso Barajas</t>
  </si>
  <si>
    <t>ngeneroso@haya.es</t>
  </si>
  <si>
    <t>Javier Sanchez Salas</t>
  </si>
  <si>
    <t>jsanchezs@haya.es</t>
  </si>
  <si>
    <t>Inmaculada Lopez Espinosa</t>
  </si>
  <si>
    <t>ilopeze@haya.es</t>
  </si>
  <si>
    <t>Oscar Dominguez Lopez</t>
  </si>
  <si>
    <t>odominguez@haya.es</t>
  </si>
  <si>
    <t>Francisco Javier Espejo Gonzalez</t>
  </si>
  <si>
    <t>fespejo@haya.es</t>
  </si>
  <si>
    <t>Javier Encinar Revilla</t>
  </si>
  <si>
    <t>jencinar@haya.es</t>
  </si>
  <si>
    <t>Benjamin Grau Serra</t>
  </si>
  <si>
    <t>bgs@haya.es</t>
  </si>
  <si>
    <t>Cristina Huguet Martinez</t>
  </si>
  <si>
    <t>chm@haya.es</t>
  </si>
  <si>
    <t>Antonio Saenz Segovia</t>
  </si>
  <si>
    <t>asaenz@haya.es</t>
  </si>
  <si>
    <t>Ricardo Daniel Pardo Rivarola</t>
  </si>
  <si>
    <t>rpardo@haya.es</t>
  </si>
  <si>
    <t>Juan Manuel Monterde Gimeno</t>
  </si>
  <si>
    <t>jmg@haya.es</t>
  </si>
  <si>
    <t>Amador Gomez Rivera</t>
  </si>
  <si>
    <t>agomez@haya.es</t>
  </si>
  <si>
    <t>Silvia Diaz Fernandez</t>
  </si>
  <si>
    <t>sdiaz@haya.es</t>
  </si>
  <si>
    <t>Juan Lostao Boya</t>
  </si>
  <si>
    <t>jlostao@haya.es</t>
  </si>
  <si>
    <t>Leticia Ramos Montesdeoca</t>
  </si>
  <si>
    <t>lramos@haya.es</t>
  </si>
  <si>
    <t>Lidia Esther Rubio Ortega</t>
  </si>
  <si>
    <t>lrubio@haya.es</t>
  </si>
  <si>
    <t>Aurora Quevedo Perez</t>
  </si>
  <si>
    <t>aquevedo@haya.es</t>
  </si>
  <si>
    <t>Gerardo Martinez Diaz</t>
  </si>
  <si>
    <t>Mar Ripoll Sanchez</t>
  </si>
  <si>
    <t>mripoll@haya.es</t>
  </si>
  <si>
    <t>Yaiza Martin Coello</t>
  </si>
  <si>
    <t>Patricia Cano Farias</t>
  </si>
  <si>
    <t>pcano@haya.es</t>
  </si>
  <si>
    <t>Angel Rubio Burgos</t>
  </si>
  <si>
    <t>arubio@haya.es</t>
  </si>
  <si>
    <t>Alicia Tabanera Molinera</t>
  </si>
  <si>
    <t>atabanera@haya.es</t>
  </si>
  <si>
    <t>Maria Agueda Sanchez Martin</t>
  </si>
  <si>
    <t>msanchezma@haya.es</t>
  </si>
  <si>
    <t>Beatriz Aguilar Oliver</t>
  </si>
  <si>
    <t>bao@haya.es</t>
  </si>
  <si>
    <t>Silvia Carcel Castillo</t>
  </si>
  <si>
    <t>scarcel@haya.es</t>
  </si>
  <si>
    <t>Fernando Robles Bonel</t>
  </si>
  <si>
    <t>frobles@haya.es</t>
  </si>
  <si>
    <t>Luis Cesar Arranz Alonso</t>
  </si>
  <si>
    <t>larranz@haya.es</t>
  </si>
  <si>
    <t>Pablo Alonso Soler</t>
  </si>
  <si>
    <t>palonso@haya.es</t>
  </si>
  <si>
    <t>Maria Carmen Peña Manzanares</t>
  </si>
  <si>
    <t>mpenam@haya.es</t>
  </si>
  <si>
    <t>Oscar Saez Berenguer</t>
  </si>
  <si>
    <t>osaez@haya.es</t>
  </si>
  <si>
    <t>Tilde Carbonell Hernandez</t>
  </si>
  <si>
    <t>tch@haya.es</t>
  </si>
  <si>
    <t>Isabel Sanz Sanvicens</t>
  </si>
  <si>
    <t>iss@haya.es</t>
  </si>
  <si>
    <t>Olga Cebrian Garcia</t>
  </si>
  <si>
    <t>ocg@haya.es</t>
  </si>
  <si>
    <t>Javier Rebollo Moreno</t>
  </si>
  <si>
    <t>jrebollo@haya.es</t>
  </si>
  <si>
    <t>Elena Rodriguez Izquierdo</t>
  </si>
  <si>
    <t>erodriguez@haya.es</t>
  </si>
  <si>
    <t>Miguel Angel Salido Cobo</t>
  </si>
  <si>
    <t>msalido@haya.es</t>
  </si>
  <si>
    <t>Maria-Mar Sanchez Gonzalez</t>
  </si>
  <si>
    <t>msanchezgo@haya.es</t>
  </si>
  <si>
    <t>Aranzazu Nieto Ferrandez</t>
  </si>
  <si>
    <t>anieto@haya.es</t>
  </si>
  <si>
    <t>Juan Carlos Lorenzo</t>
  </si>
  <si>
    <t>jcarlos@haya.es</t>
  </si>
  <si>
    <t>Luis Alberto Alonso del Blanco</t>
  </si>
  <si>
    <t>Jose Javier Navarro Lazaro</t>
  </si>
  <si>
    <t>jnavarro@haya.es</t>
  </si>
  <si>
    <t>Francisca Isabel Gimenez Martinez</t>
  </si>
  <si>
    <t>fgimenez@haya.es</t>
  </si>
  <si>
    <t>Maria Eugenia Gonzalez Miras</t>
  </si>
  <si>
    <t>megonzalez@haya.es</t>
  </si>
  <si>
    <t>Silvia Gonzalez Jimenez</t>
  </si>
  <si>
    <t>sgonzalez@haya.es</t>
  </si>
  <si>
    <t>Carmen Maria Salmeron Manzano</t>
  </si>
  <si>
    <t>csalmeron@haya.es</t>
  </si>
  <si>
    <t>Manuel Jose Moreno Manzano</t>
  </si>
  <si>
    <t>mmoreno@haya.es</t>
  </si>
  <si>
    <t>Juan Francisco Roman Lopez</t>
  </si>
  <si>
    <t>jroman@haya.es</t>
  </si>
  <si>
    <t>Alejandro Jose Soriano Montoya</t>
  </si>
  <si>
    <t>asorianob@haya.es</t>
  </si>
  <si>
    <t>Maria Luisa Rodriguez Miras</t>
  </si>
  <si>
    <t>mrodriguezm@haya.es</t>
  </si>
  <si>
    <t>Miguel Angel Sanchez Alvarez</t>
  </si>
  <si>
    <t>msanchezal@haya.es</t>
  </si>
  <si>
    <t>Rosa Maria Jerez Guerrero</t>
  </si>
  <si>
    <t>rjerez@haya.es</t>
  </si>
  <si>
    <t>Maria Fernanda Escobar Gonzalez</t>
  </si>
  <si>
    <t>mescobar@haya.es</t>
  </si>
  <si>
    <t>Laura Castaño Perez</t>
  </si>
  <si>
    <t>lcastano@haya.es</t>
  </si>
  <si>
    <t>lmorales@haya.es</t>
  </si>
  <si>
    <t>Eduardo Alvarez Garrido</t>
  </si>
  <si>
    <t>ealvarezg@haya.es</t>
  </si>
  <si>
    <t>Angel Miguel Sanfrutos Cañizares</t>
  </si>
  <si>
    <t>asanfrutos@haya.es</t>
  </si>
  <si>
    <t>Maria Blasco del Pico</t>
  </si>
  <si>
    <t>Maria Angeles Vazquez Jandula</t>
  </si>
  <si>
    <t>mavazquez@haya.es</t>
  </si>
  <si>
    <t>Sonia Chacon Segovia</t>
  </si>
  <si>
    <t>schacon@haya.es</t>
  </si>
  <si>
    <t>Jose Manuel Vallejo Alcantara</t>
  </si>
  <si>
    <t>Fernando Alves Soriano</t>
  </si>
  <si>
    <t>falves@haya.es</t>
  </si>
  <si>
    <t>Dario Urbistondo Jimenez</t>
  </si>
  <si>
    <t>durbistondo@haya.es</t>
  </si>
  <si>
    <t>Adrian Casero Barrera</t>
  </si>
  <si>
    <t>acasero@haya.es</t>
  </si>
  <si>
    <t>Ana Maria Caridad Gonzalez</t>
  </si>
  <si>
    <t>acaridad@haya.es</t>
  </si>
  <si>
    <t>Miguel Ruiz Arana</t>
  </si>
  <si>
    <t>mruiz@haya.es</t>
  </si>
  <si>
    <t>Jorge Dominguez Rodriguez</t>
  </si>
  <si>
    <t>jdominguezr@haya.es</t>
  </si>
  <si>
    <t>Daniel Leganes Ferreras</t>
  </si>
  <si>
    <t>dleganes@haya.es</t>
  </si>
  <si>
    <t>Rafael Pavon Amoscotegui</t>
  </si>
  <si>
    <t>rpavon@haya.es</t>
  </si>
  <si>
    <t>Monica Ortega Alvira</t>
  </si>
  <si>
    <t>mortegaa@haya.es</t>
  </si>
  <si>
    <t>Roberto Lozano Pascual</t>
  </si>
  <si>
    <t>rlozano@haya.es</t>
  </si>
  <si>
    <t>Raul Sastre Lopez</t>
  </si>
  <si>
    <t>rsastre@haya.es</t>
  </si>
  <si>
    <t>Luis Ignacio Gonzalez Marino</t>
  </si>
  <si>
    <t>lgonzalezm@haya.es</t>
  </si>
  <si>
    <t>Andrea Fernandez Duaso</t>
  </si>
  <si>
    <t>afernandezdu@haya.es</t>
  </si>
  <si>
    <t>Stella Davila Diaz</t>
  </si>
  <si>
    <t>Miguel Moreno Delgado</t>
  </si>
  <si>
    <t>mmorenod@haya.es</t>
  </si>
  <si>
    <t>Mercedes Paniagua Guijarro</t>
  </si>
  <si>
    <t>mpaniagua@haya.es</t>
  </si>
  <si>
    <t>Ignacio Domingo Unzurrunzaga</t>
  </si>
  <si>
    <t>Paula Fernandez Moreno</t>
  </si>
  <si>
    <t>pfernandezm@haya.es</t>
  </si>
  <si>
    <t>Sara Moreno de Frutos</t>
  </si>
  <si>
    <t>smoreno@haya.es</t>
  </si>
  <si>
    <t>Virginia Hernandez Iniesta</t>
  </si>
  <si>
    <t>vhernandezi@haya.es</t>
  </si>
  <si>
    <t>Maite Martinez Baños</t>
  </si>
  <si>
    <t>mtm@haya.es</t>
  </si>
  <si>
    <t>Paula Brisa Macias</t>
  </si>
  <si>
    <t>pbrisa@haya.es</t>
  </si>
  <si>
    <t>Miriam Alonso Carrasco</t>
  </si>
  <si>
    <t>malonso@haya.es</t>
  </si>
  <si>
    <t>Francisco Sanchez Puig</t>
  </si>
  <si>
    <t>fsanchez@haya.es</t>
  </si>
  <si>
    <t>Olivia Garcia Vidal</t>
  </si>
  <si>
    <t>ogv@haya.es</t>
  </si>
  <si>
    <t>Aida Carabal Reyes</t>
  </si>
  <si>
    <t>acarabal@haya.es</t>
  </si>
  <si>
    <t>Almudena Garcia Arribas</t>
  </si>
  <si>
    <t>mgarciaarr@haya.es</t>
  </si>
  <si>
    <t>Dolores Montero Valor</t>
  </si>
  <si>
    <t>dmontero@haya.es</t>
  </si>
  <si>
    <t>Veronica Maldonado Vargas</t>
  </si>
  <si>
    <t>vmaldonado@haya.es</t>
  </si>
  <si>
    <t>Raquel Talavera Belinchon</t>
  </si>
  <si>
    <t>Lorena Nestar Ferrandis</t>
  </si>
  <si>
    <t>Jorge Tamarit Perez</t>
  </si>
  <si>
    <t>jtamarit@haya.es</t>
  </si>
  <si>
    <t>Mariola Torres Laguarda</t>
  </si>
  <si>
    <t>mtl@haya.es</t>
  </si>
  <si>
    <t>Amparo Marti Palanca</t>
  </si>
  <si>
    <t>amp@haya.es</t>
  </si>
  <si>
    <t>Maria Jesus Camps Gallent</t>
  </si>
  <si>
    <t>mjc@haya.es</t>
  </si>
  <si>
    <t>Laura Llorca Peiro</t>
  </si>
  <si>
    <t>llp@haya.es</t>
  </si>
  <si>
    <t>Ana Maria Peris Amo</t>
  </si>
  <si>
    <t>aperis@haya.es</t>
  </si>
  <si>
    <t>Lorena Sanchez Rico</t>
  </si>
  <si>
    <t>lsanchez@haya.es</t>
  </si>
  <si>
    <t>Maria Aranzazu Arenas Olmedilla</t>
  </si>
  <si>
    <t>Rocio Lopez Vergara</t>
  </si>
  <si>
    <t>rlopezve@haya.es</t>
  </si>
  <si>
    <t>Ruth Garcia Acedo</t>
  </si>
  <si>
    <t>rgarciaa@haya.es</t>
  </si>
  <si>
    <t>Consuelo Carles Altur</t>
  </si>
  <si>
    <t>ccarles@haya.es</t>
  </si>
  <si>
    <t>Natalio Hector Lopez-Cuadra Rojas</t>
  </si>
  <si>
    <t>nlopez-cuadra@haya.es</t>
  </si>
  <si>
    <t>Silvia Lozano Alvarez</t>
  </si>
  <si>
    <t>slozano@haya.es</t>
  </si>
  <si>
    <t>Amparo Desco Dura</t>
  </si>
  <si>
    <t>adesco@haya.es</t>
  </si>
  <si>
    <t>Jessica Ortega Gil</t>
  </si>
  <si>
    <t>jortega@haya.es</t>
  </si>
  <si>
    <t>Vicky Garcia Llisto</t>
  </si>
  <si>
    <t>vgl@haya.es</t>
  </si>
  <si>
    <t>Nadia Fernandez Serrano</t>
  </si>
  <si>
    <t>nfernandez@haya.es</t>
  </si>
  <si>
    <t>Jose Alberto Torres Sanchez</t>
  </si>
  <si>
    <t>jtorress@haya.es</t>
  </si>
  <si>
    <t>Mariano Martin Matilla</t>
  </si>
  <si>
    <t>mmartinm@haya.es</t>
  </si>
  <si>
    <t>Carmen Sanchez Duran</t>
  </si>
  <si>
    <t>Irene Berenguer Aleixandre</t>
  </si>
  <si>
    <t>iba@haya.es</t>
  </si>
  <si>
    <t>Beatriz Ruiz Fuentes</t>
  </si>
  <si>
    <t>bruiz@haya.es</t>
  </si>
  <si>
    <t>Concepcion Solaz Abian</t>
  </si>
  <si>
    <t>csolaz@haya.es</t>
  </si>
  <si>
    <t>Fernando Deusa Ruiz</t>
  </si>
  <si>
    <t>fdeusa@haya.es</t>
  </si>
  <si>
    <t>Maria Redon Diago</t>
  </si>
  <si>
    <t>mredon@haya.es</t>
  </si>
  <si>
    <t>Carlos Conde Sanchez</t>
  </si>
  <si>
    <t>cconde@haya.es</t>
  </si>
  <si>
    <t>Cristina Martin Lopez</t>
  </si>
  <si>
    <t>cmartin@haya.es</t>
  </si>
  <si>
    <t>Casimira Benavides Hueso</t>
  </si>
  <si>
    <t>cbenavides@haya.es</t>
  </si>
  <si>
    <t>Francisco Javier Clares Borrego</t>
  </si>
  <si>
    <t>fclares@haya.es</t>
  </si>
  <si>
    <t>Tomas Manuel Exposito Gonzalez</t>
  </si>
  <si>
    <t>texposito@haya.es</t>
  </si>
  <si>
    <t>Patricia Rodriguez Guzman</t>
  </si>
  <si>
    <t>Amparo Gimenez Molina</t>
  </si>
  <si>
    <t>agimenez@haya.es</t>
  </si>
  <si>
    <t>Laura Garrido Lujan</t>
  </si>
  <si>
    <t>lgl@haya.es</t>
  </si>
  <si>
    <t>Jose Espinosa Menchon</t>
  </si>
  <si>
    <t>jespinosam@haya.es</t>
  </si>
  <si>
    <t>Marta Gañan Clavijo</t>
  </si>
  <si>
    <t>mganan@haya.es</t>
  </si>
  <si>
    <t>Ignacio Perez De La Fuente</t>
  </si>
  <si>
    <t>iperezf@haya.es</t>
  </si>
  <si>
    <t>Evelio Rafael Benitez Trujillo</t>
  </si>
  <si>
    <t>ebenitezt@haya.es</t>
  </si>
  <si>
    <t>Daniel Valero Chico</t>
  </si>
  <si>
    <t>dvalero@haya.es</t>
  </si>
  <si>
    <t>Amparo Benavides Ferrer</t>
  </si>
  <si>
    <t>abenavides@haya.es</t>
  </si>
  <si>
    <t>Amalia Teruel Anaya</t>
  </si>
  <si>
    <t>ateruel@haya.es</t>
  </si>
  <si>
    <t>Lucia Marcos Esteban</t>
  </si>
  <si>
    <t>Rosa Fernanda Guirado Miras</t>
  </si>
  <si>
    <t>rguirado@haya.es</t>
  </si>
  <si>
    <t>Nuria de la Ossa Montalban</t>
  </si>
  <si>
    <t>ndelaossa@haya.es</t>
  </si>
  <si>
    <t>Maria Elena Aranda Cesar</t>
  </si>
  <si>
    <t>maranda@haya.es</t>
  </si>
  <si>
    <t>Sara Aragon Gutierrez</t>
  </si>
  <si>
    <t>saragon@haya.es</t>
  </si>
  <si>
    <t>Raul Dura Garces</t>
  </si>
  <si>
    <t>rdura@haya.es</t>
  </si>
  <si>
    <t>Belen Baviera Garcia</t>
  </si>
  <si>
    <t>bbaviera@haya.es</t>
  </si>
  <si>
    <t>Javier Almendros Forjan</t>
  </si>
  <si>
    <t>jalmendros@haya.es</t>
  </si>
  <si>
    <t>Raquel Abad Lara</t>
  </si>
  <si>
    <t>rabad@haya.es</t>
  </si>
  <si>
    <t>Antonio Martinez Berzosa</t>
  </si>
  <si>
    <t>amartinezb@haya.es</t>
  </si>
  <si>
    <t>Maria Carmen Morales Aristegui</t>
  </si>
  <si>
    <t>cmorales@haya.es</t>
  </si>
  <si>
    <t>Laura Fabe Hernandez</t>
  </si>
  <si>
    <t>lfabe@haya.es</t>
  </si>
  <si>
    <t>Esther Martin Muñoz</t>
  </si>
  <si>
    <t>emartinm@haya.es</t>
  </si>
  <si>
    <t>Jose Maria Toledano Huerta</t>
  </si>
  <si>
    <t>jtoledano@haya.es</t>
  </si>
  <si>
    <t>Lourdes Sanchiz Carrasco</t>
  </si>
  <si>
    <t>lsanchiz@haya.es</t>
  </si>
  <si>
    <t>Gema Castro Luengo</t>
  </si>
  <si>
    <t>gcastro@haya.es</t>
  </si>
  <si>
    <t>Patricia Serrano Caballero</t>
  </si>
  <si>
    <t>pserranoc@haya.es</t>
  </si>
  <si>
    <t>Ana Isabel Martinez Lopez</t>
  </si>
  <si>
    <t>amartinezl@haya.es</t>
  </si>
  <si>
    <t>Virginia Requeni Quilez</t>
  </si>
  <si>
    <t>vrequeni@haya.es</t>
  </si>
  <si>
    <t>Maria Jesus Rius Banyuls</t>
  </si>
  <si>
    <t>mriusb@haya.es</t>
  </si>
  <si>
    <t>Ana Maria Rojas Burgos</t>
  </si>
  <si>
    <t>arojas@haya.es</t>
  </si>
  <si>
    <t>Cristina Barros Diaz</t>
  </si>
  <si>
    <t>cbarros@haya.es</t>
  </si>
  <si>
    <t>Francisco Yago Galvan</t>
  </si>
  <si>
    <t>fyago@haya.es</t>
  </si>
  <si>
    <t>Julia Martinez Echevarria</t>
  </si>
  <si>
    <t>jmartineze@haya.es</t>
  </si>
  <si>
    <t>Javier Brisa Domenech</t>
  </si>
  <si>
    <t>jbrisa@haya.es</t>
  </si>
  <si>
    <t>Gabriel Esteban Sanz</t>
  </si>
  <si>
    <t>gesteban@haya.es</t>
  </si>
  <si>
    <t>Jorge Giner Carbonell</t>
  </si>
  <si>
    <t>jgc@haya.es</t>
  </si>
  <si>
    <t>Alfredo Ojeda Duran</t>
  </si>
  <si>
    <t>aojeda@haya.es</t>
  </si>
  <si>
    <t>Ivan Ramal Oliver</t>
  </si>
  <si>
    <t>iramal@haya.es</t>
  </si>
  <si>
    <t>Agustin Lopez de Hierro Abad</t>
  </si>
  <si>
    <t>alopezdehierro@haya.es</t>
  </si>
  <si>
    <t>Juan Carlos Gomez Martinez</t>
  </si>
  <si>
    <t>jgomez@haya.es</t>
  </si>
  <si>
    <t>Cesar de la Vega Junquera</t>
  </si>
  <si>
    <t>cvega@haya.es</t>
  </si>
  <si>
    <t>Maria Eloisa Alonso Barajas Sanchez</t>
  </si>
  <si>
    <t>malonsobarajas@haya.es</t>
  </si>
  <si>
    <t>Nuria Caudet Bolea</t>
  </si>
  <si>
    <t>ncaudet@haya.es</t>
  </si>
  <si>
    <t>Maria Jose Amiguetti Diaz</t>
  </si>
  <si>
    <t>mamiguetti@haya.es</t>
  </si>
  <si>
    <t>Beatriz Vivancos Sanz</t>
  </si>
  <si>
    <t>Jose Antonio Oreja Guevara</t>
  </si>
  <si>
    <t>joreja@haya.es</t>
  </si>
  <si>
    <t>Maria Pilar Moreno Cortes</t>
  </si>
  <si>
    <t>mmorenoc@haya.es</t>
  </si>
  <si>
    <t>Cesar Garcia Ortega</t>
  </si>
  <si>
    <t>cgarciaor@haya.es</t>
  </si>
  <si>
    <t>Fernando Moreno Arias</t>
  </si>
  <si>
    <t>fmoreno@haya.es</t>
  </si>
  <si>
    <t>Oscar Gomez Aparicio</t>
  </si>
  <si>
    <t>ogomeza@haya.es</t>
  </si>
  <si>
    <t>Yolanda Gomez Yuste</t>
  </si>
  <si>
    <t>mgomezy@haya.es</t>
  </si>
  <si>
    <t>Alfredo Blanco Barbero</t>
  </si>
  <si>
    <t>ablancob@haya.es</t>
  </si>
  <si>
    <t>Paloma Garcia Lopez</t>
  </si>
  <si>
    <t>pgarcial@haya.es</t>
  </si>
  <si>
    <t>Francisco Martin Santillana</t>
  </si>
  <si>
    <t>fmartins@haya.es</t>
  </si>
  <si>
    <t>Francisco Javier Ugena Brotons</t>
  </si>
  <si>
    <t>fugenab@haya.es</t>
  </si>
  <si>
    <t>Daniel Mercado Izquierdo</t>
  </si>
  <si>
    <t>dmercado@haya.es</t>
  </si>
  <si>
    <t>Ester Navarro Cano</t>
  </si>
  <si>
    <t>enavarro@haya.es</t>
  </si>
  <si>
    <t>Pablo Fernandez Gregorio</t>
  </si>
  <si>
    <t>pfernandezg@haya.es</t>
  </si>
  <si>
    <t>Francisca Noelia Samper Cobo</t>
  </si>
  <si>
    <t>fsamper@haya.es</t>
  </si>
  <si>
    <t>Leopoldo Guillen Alcalde</t>
  </si>
  <si>
    <t>lguillen@haya.es</t>
  </si>
  <si>
    <t>Oscar Mora Rodriguez</t>
  </si>
  <si>
    <t>omora@haya.es</t>
  </si>
  <si>
    <t>Alfonso Fernandez Diaz de Lope Diaz</t>
  </si>
  <si>
    <t>afernandezd@haya.es</t>
  </si>
  <si>
    <t>Angel Luis Abad Vera</t>
  </si>
  <si>
    <t>aabadv@haya.es</t>
  </si>
  <si>
    <t>Maria Isabel Cruz Redondo</t>
  </si>
  <si>
    <t>mcruzr@haya.es</t>
  </si>
  <si>
    <t>Amparo Barado Piqueras</t>
  </si>
  <si>
    <t>abarado@haya.es</t>
  </si>
  <si>
    <t>Jose Manuel Gomez-Escalonilla Del Casar</t>
  </si>
  <si>
    <t>jgomez-escalonilla@haya.es</t>
  </si>
  <si>
    <t>Maria Jesus Martinez Martin</t>
  </si>
  <si>
    <t>mmartinezm@haya.es</t>
  </si>
  <si>
    <t>Francisco Castro Muñoz</t>
  </si>
  <si>
    <t>fcastro@haya.es</t>
  </si>
  <si>
    <t>Maria Paz Torres Villarreal</t>
  </si>
  <si>
    <t>mtorresv@haya.es</t>
  </si>
  <si>
    <t>Eva Sanchez Roca</t>
  </si>
  <si>
    <t>esanchezr@haya.es</t>
  </si>
  <si>
    <t>Jaime Libano Sanchez-Izquierdo</t>
  </si>
  <si>
    <t>jlibano@haya.es</t>
  </si>
  <si>
    <t>Jorge Corrales Ortega</t>
  </si>
  <si>
    <t>jcorrales@haya.es</t>
  </si>
  <si>
    <t>Vanesa Gimenez Sebastian</t>
  </si>
  <si>
    <t>vgimenez@haya.es</t>
  </si>
  <si>
    <t>Antonio Cabanillas Reja</t>
  </si>
  <si>
    <t>acabanir@haya.es</t>
  </si>
  <si>
    <t>Isabel Maria Vazquez Nuñez</t>
  </si>
  <si>
    <t>ivazquez@haya.es</t>
  </si>
  <si>
    <t>Francisco Javier Garcia San Martin</t>
  </si>
  <si>
    <t>fgarcias@haya.es</t>
  </si>
  <si>
    <t>Alvaro Escribano Gallo</t>
  </si>
  <si>
    <t>aescribano@haya.es</t>
  </si>
  <si>
    <t>Juan Carlos Herranz Rubio</t>
  </si>
  <si>
    <t>jherranz@haya.es</t>
  </si>
  <si>
    <t>Maria Jose Bondia Garcia</t>
  </si>
  <si>
    <t>mjbondia@haya.es</t>
  </si>
  <si>
    <t>Yolanda Garcia Martinez</t>
  </si>
  <si>
    <t>ygarciam@haya.es</t>
  </si>
  <si>
    <t>Lourdes Claret Tremps</t>
  </si>
  <si>
    <t>lclaret@haya.es</t>
  </si>
  <si>
    <t>Ernesto Just Pla</t>
  </si>
  <si>
    <t>ejust@haya.es</t>
  </si>
  <si>
    <t>Marta Antequera Marcos</t>
  </si>
  <si>
    <t>mantequera@haya.es</t>
  </si>
  <si>
    <t>Teresa Diez Cano</t>
  </si>
  <si>
    <t>Daniel Tacero Rico</t>
  </si>
  <si>
    <t>dtacero@haya.es</t>
  </si>
  <si>
    <t>Eduardo Travieso Ledesma</t>
  </si>
  <si>
    <t>etraviesol@haya.es</t>
  </si>
  <si>
    <t>Maria Blanca Garcia Pacho</t>
  </si>
  <si>
    <t>mgarciap@haya.es</t>
  </si>
  <si>
    <t>Angelica Fraile Alcalde</t>
  </si>
  <si>
    <t>afraile@haya.es</t>
  </si>
  <si>
    <t>Elisabeth Maurizot Pont</t>
  </si>
  <si>
    <t>emaurizot@haya.es</t>
  </si>
  <si>
    <t>Patricia Sanz Marin</t>
  </si>
  <si>
    <t>psm@haya.es</t>
  </si>
  <si>
    <t>Belen Morant Rodriguez</t>
  </si>
  <si>
    <t>bmorant@haya.es</t>
  </si>
  <si>
    <t>Nieves Valle Rodrigo</t>
  </si>
  <si>
    <t>nvalle@haya.es</t>
  </si>
  <si>
    <t>Laura Martin Garcia</t>
  </si>
  <si>
    <t>lmartinga@haya.es</t>
  </si>
  <si>
    <t>Adrian Taboada Alba</t>
  </si>
  <si>
    <t>ataboadaa@haya.es</t>
  </si>
  <si>
    <t>Daniel Gonzalez Quintana</t>
  </si>
  <si>
    <t>dgonzalezq@haya.es</t>
  </si>
  <si>
    <t>Mariona Poblet Torres</t>
  </si>
  <si>
    <t>mpoblet@haya.es</t>
  </si>
  <si>
    <t>Inmaculada Lopez-Gasco Jimenez</t>
  </si>
  <si>
    <t>ilopezgasco@haya.es</t>
  </si>
  <si>
    <t>Javier Toro Utrera</t>
  </si>
  <si>
    <t>Aroa Vegas Gonzalez</t>
  </si>
  <si>
    <t>avegasg@haya.es</t>
  </si>
  <si>
    <t>Juan Carlos Almansa Martin</t>
  </si>
  <si>
    <t>jalmansa@haya.es</t>
  </si>
  <si>
    <t>Marcos Diez Morell</t>
  </si>
  <si>
    <t>mdiez@haya.es</t>
  </si>
  <si>
    <t>Jose Javier Martinez Naranjo</t>
  </si>
  <si>
    <t>Raul Navarro Martinez</t>
  </si>
  <si>
    <t>rnavarro@haya.es</t>
  </si>
  <si>
    <t>Javier Gracia Donnay</t>
  </si>
  <si>
    <t>jgracia@haya.es</t>
  </si>
  <si>
    <t>Ricardo de la Plaza Ramirez</t>
  </si>
  <si>
    <t>rdelaplaza@haya.es</t>
  </si>
  <si>
    <t>Estela Espinosa Morales</t>
  </si>
  <si>
    <t>eespinosa@haya.es</t>
  </si>
  <si>
    <t>Francisco Manuel Malvarez Mañas</t>
  </si>
  <si>
    <t>fmalvarez@haya.es</t>
  </si>
  <si>
    <t>Basilio Cañadas Rodriguez</t>
  </si>
  <si>
    <t>bcanadas@haya.es</t>
  </si>
  <si>
    <t>Antonio German Romera Linares</t>
  </si>
  <si>
    <t>aromera@haya.es</t>
  </si>
  <si>
    <t>Seila Palma Mendoza</t>
  </si>
  <si>
    <t>spalma@haya.es</t>
  </si>
  <si>
    <t>Margarita Cumbreras Manga</t>
  </si>
  <si>
    <t>mcumbreras@haya.es</t>
  </si>
  <si>
    <t>Maria Cristina Guitart Ramos</t>
  </si>
  <si>
    <t>mguitart@haya.es</t>
  </si>
  <si>
    <t>Juan Hernandez Cabrera</t>
  </si>
  <si>
    <t>jhernandez@haya.es</t>
  </si>
  <si>
    <t>Francisco Alonso Rodriguez</t>
  </si>
  <si>
    <t>falonsor@haya.es</t>
  </si>
  <si>
    <t>Emilio Cabrera Cabrera</t>
  </si>
  <si>
    <t>ecabrera@haya.es</t>
  </si>
  <si>
    <t>Tomas Buendia Feixas</t>
  </si>
  <si>
    <t>tbuendia@haya.es</t>
  </si>
  <si>
    <t>Mercedes Sanchez Fernandez</t>
  </si>
  <si>
    <t>msanchezf@haya.es</t>
  </si>
  <si>
    <t>Francisco Jose Carrasco Acedo</t>
  </si>
  <si>
    <t>fcarrasco@haya.es</t>
  </si>
  <si>
    <t>Angel Zanon Garcia</t>
  </si>
  <si>
    <t>azanon@haya.es</t>
  </si>
  <si>
    <t>Daniel Martin Gutierrez</t>
  </si>
  <si>
    <t>dmartin@haya.es</t>
  </si>
  <si>
    <t>Purificacion Morera Garnateo</t>
  </si>
  <si>
    <t>pmorera@haya.es</t>
  </si>
  <si>
    <t>Nuria Colom Jaime</t>
  </si>
  <si>
    <t>Jose Manuel Vila Oltra</t>
  </si>
  <si>
    <t>jvila@haya.es</t>
  </si>
  <si>
    <t>Maria Carmen Agui Perez</t>
  </si>
  <si>
    <t>magui@haya.es</t>
  </si>
  <si>
    <t>Alberto Barbas Peña</t>
  </si>
  <si>
    <t>abarbasp@haya.es</t>
  </si>
  <si>
    <t>Ana Isabel Sanchez Guinaldo</t>
  </si>
  <si>
    <t>asanchezgui@haya.es</t>
  </si>
  <si>
    <t>Olimpia Rubio Bullido</t>
  </si>
  <si>
    <t>orubio@haya.es</t>
  </si>
  <si>
    <t>Angel Enrique Garcia Adasme</t>
  </si>
  <si>
    <t>agarciaa@haya.es</t>
  </si>
  <si>
    <t>Miguel Garcia Jimenez</t>
  </si>
  <si>
    <t>mgarciaj@haya.es</t>
  </si>
  <si>
    <t>Luis Serna Toboso</t>
  </si>
  <si>
    <t>lserna@haya.es</t>
  </si>
  <si>
    <t>dgarciag@haya.es</t>
  </si>
  <si>
    <t>Madrid</t>
  </si>
  <si>
    <t>Valencia</t>
  </si>
  <si>
    <t>Almería</t>
  </si>
  <si>
    <t>2. Resp. Ficheros Clientes</t>
  </si>
  <si>
    <t>3. Resp. Call Center</t>
  </si>
  <si>
    <t>04. Atención al arrendatario</t>
  </si>
  <si>
    <t>08. Gestión de los canales (Liberbank) (NM)</t>
  </si>
  <si>
    <t>01. Gestión de peticiones y procedimientos judiciales (con plazo)
02. Gestión de buzones
03. Reporte de la Actividad</t>
  </si>
  <si>
    <t>dsegura@externos.haya.es</t>
  </si>
  <si>
    <t>afa@prinex.es</t>
  </si>
  <si>
    <t xml:space="preserve">soportehre@gestycontrol.com </t>
  </si>
  <si>
    <t>Shebel (Alberto Fernández)</t>
  </si>
  <si>
    <t>CRM (Buzón Soporte)</t>
  </si>
  <si>
    <t>miguel.giron@atmiradigital.com</t>
  </si>
  <si>
    <t>RSI (Igor Catalina Bellmont)</t>
  </si>
  <si>
    <t>ICatalina@hitachiconsulting.com</t>
  </si>
  <si>
    <t>diego.rodriguez@pfsgroup.es</t>
  </si>
  <si>
    <t>Miguel Girón</t>
  </si>
  <si>
    <t>Diego Rodríguez</t>
  </si>
  <si>
    <t>2. Staff Medios</t>
  </si>
  <si>
    <t>1. Técnico de RRHH (nóminas y ss.ss.)</t>
  </si>
  <si>
    <t>gjimenezs@haya.es</t>
  </si>
  <si>
    <t>01. Gestión de Facturas de IBIs y Comunidades (Facturación)
02. Gestión de Facturas del proveedor (Facturación)
03. Centro contable de Bankia (Facturación)
04. Tramitación administrativa de facturas de clientes (Facturación)
06. Pago de provisión de fondos y minutas  (Cajamar)</t>
  </si>
  <si>
    <t>Cristina Viñets Colom</t>
  </si>
  <si>
    <t>cvinets@haya.es</t>
  </si>
  <si>
    <t>2015 (Nov)</t>
  </si>
  <si>
    <t>2016 (Jul/Nov)</t>
  </si>
  <si>
    <t>2017 (Jun)</t>
  </si>
  <si>
    <t>2018 (May/Jun)</t>
  </si>
  <si>
    <t>HISTÓRICO PARTICIPACIÓN PRUEBAS PCN</t>
  </si>
  <si>
    <t>Carlos Millan Corrales</t>
  </si>
  <si>
    <t>cmillanc@haya.es</t>
  </si>
  <si>
    <t>Marta Fernandez Esteban-Infantes</t>
  </si>
  <si>
    <t>mfernandeze@haya.es</t>
  </si>
  <si>
    <t>Sebastian Hormaeche Abecassis</t>
  </si>
  <si>
    <t>shormaeche@haya.es</t>
  </si>
  <si>
    <t>Alba Lorenzo Barros</t>
  </si>
  <si>
    <t>Teresa Gonzalez Roques</t>
  </si>
  <si>
    <t>tgonzalez@haya.es</t>
  </si>
  <si>
    <t>adelgado@haya.es</t>
  </si>
  <si>
    <t>Maria Ramos Montero</t>
  </si>
  <si>
    <t>mramosm@haya.es</t>
  </si>
  <si>
    <t>ymartin@haya.es</t>
  </si>
  <si>
    <t>Javier Gonzalez Valencia</t>
  </si>
  <si>
    <t>jgonzalezv@haya.es</t>
  </si>
  <si>
    <t>David Garcia Gregorio</t>
  </si>
  <si>
    <t>Daniel Gutierrez Valle</t>
  </si>
  <si>
    <t>dgutierrez@haya.es</t>
  </si>
  <si>
    <t>Luis Morales Muñoz</t>
  </si>
  <si>
    <t>Isabel Martin Ruiz</t>
  </si>
  <si>
    <t>Victor Alfonso Campiña</t>
  </si>
  <si>
    <t>Roberto Ejarque Carcel</t>
  </si>
  <si>
    <t>Guillermo Murcia Verdu</t>
  </si>
  <si>
    <t>marenas@haya.es</t>
  </si>
  <si>
    <t>Jaime Reyner de Elias</t>
  </si>
  <si>
    <t>jreyner@haya.es</t>
  </si>
  <si>
    <t>Jorge Sanchez Molina</t>
  </si>
  <si>
    <t>jsanchezmo@haya.es</t>
  </si>
  <si>
    <t>Susana Hernandez Perez</t>
  </si>
  <si>
    <t>shernandez@haya.es</t>
  </si>
  <si>
    <t>Pablo Garcia-Fraile Hernandez</t>
  </si>
  <si>
    <t>pgarciafraile@haya.es</t>
  </si>
  <si>
    <t>jmartinezn@haya.es</t>
  </si>
  <si>
    <t>Laura Albendin Reyes</t>
  </si>
  <si>
    <t>ncolom@haya.es</t>
  </si>
  <si>
    <t/>
  </si>
  <si>
    <t>agarciag@haya.es</t>
  </si>
  <si>
    <t>01. Control de stock documental y llaves</t>
  </si>
  <si>
    <t>02. Mantenimiento y Seguridad</t>
  </si>
  <si>
    <t>Caser (Víctor Labella)</t>
  </si>
  <si>
    <t>vlabella@aciertaasistencia.es</t>
  </si>
  <si>
    <t>Plan de Continuidad de Negocio</t>
  </si>
  <si>
    <t>Código:</t>
  </si>
  <si>
    <t>Fecha actualización:</t>
  </si>
  <si>
    <t>Responsable:</t>
  </si>
  <si>
    <t>Sr. Javier Sánchez</t>
  </si>
  <si>
    <t>Elaborado por:</t>
  </si>
  <si>
    <t>Revisado por:</t>
  </si>
  <si>
    <t>Sr. Javier Sánchez / Sr. Santiago Uriel</t>
  </si>
  <si>
    <t>Aprobado por:</t>
  </si>
  <si>
    <t>Ámbito de afectación:</t>
  </si>
  <si>
    <t>HRE</t>
  </si>
  <si>
    <t>¿Alguna vez?</t>
  </si>
  <si>
    <t>HISTÓRICO ASISTENCIA FORMACIÓN PCN</t>
  </si>
  <si>
    <t>Marta Calparsoro Campoy</t>
  </si>
  <si>
    <t>mcalparsoro@haya.es</t>
  </si>
  <si>
    <t>ÁRBOL DE LLAMADAS - CONTINGENCIA HRE</t>
  </si>
  <si>
    <t>Tablet</t>
  </si>
  <si>
    <t>Portatil</t>
  </si>
  <si>
    <t>C/ Tous y Maroto, 10 (Centro Negocios Veri); 07001 Palma de Mallorca</t>
  </si>
  <si>
    <t>Borja Gil Luque</t>
  </si>
  <si>
    <t>bgil@haya.es</t>
  </si>
  <si>
    <t>Alvaro Garcia Gomez</t>
  </si>
  <si>
    <t>Eduardo Moyano Hernandez</t>
  </si>
  <si>
    <t>emoyano@haya.es</t>
  </si>
  <si>
    <t>Laura Muñoz Tafalla</t>
  </si>
  <si>
    <t>lmunoz@haya.es</t>
  </si>
  <si>
    <t>Maria Cecilia Balderrama</t>
  </si>
  <si>
    <t>mbalderrama@haya.es</t>
  </si>
  <si>
    <t>Beatriz Huerta Royuela</t>
  </si>
  <si>
    <t>bhuerta@haya.es</t>
  </si>
  <si>
    <t>Jose Espejo Buitrago</t>
  </si>
  <si>
    <t>jespejo@haya.es</t>
  </si>
  <si>
    <t>jvallejo@haya.es</t>
  </si>
  <si>
    <t>Carmen Sanchez Castellanos</t>
  </si>
  <si>
    <t>csanchezc@haya.es</t>
  </si>
  <si>
    <t>Ignacio Rodriguez Cotelo</t>
  </si>
  <si>
    <t>irodriguez@haya.es</t>
  </si>
  <si>
    <t>Ana Maria Valero Gomez</t>
  </si>
  <si>
    <t>avalerog@haya.es</t>
  </si>
  <si>
    <t>pcasares@haya.es</t>
  </si>
  <si>
    <t>lborgonovo@haya.es</t>
  </si>
  <si>
    <t>alorenzob@haya.es</t>
  </si>
  <si>
    <t>evillarejo@haya.es</t>
  </si>
  <si>
    <t>Rocio Jurado Robles</t>
  </si>
  <si>
    <t>rjurado@haya.es</t>
  </si>
  <si>
    <t>Borja Alameda Cortell</t>
  </si>
  <si>
    <t>balameda@haya.es</t>
  </si>
  <si>
    <t>Alicia Mateos Lopez</t>
  </si>
  <si>
    <t>amateos@haya.es</t>
  </si>
  <si>
    <t>Maria Dolores Perea Clemente</t>
  </si>
  <si>
    <t>mperea@haya.es</t>
  </si>
  <si>
    <t>Raquel Ortiz Pelaez</t>
  </si>
  <si>
    <t>rortiz@haya.es</t>
  </si>
  <si>
    <t>Victor Miguel Martin Nuñez</t>
  </si>
  <si>
    <t>vmartinn@haya.es</t>
  </si>
  <si>
    <t>Juan Jose Garcia Andres</t>
  </si>
  <si>
    <t>jgarciaa@haya.es</t>
  </si>
  <si>
    <t>Elena Alonso Castro</t>
  </si>
  <si>
    <t>ealonso@haya.es</t>
  </si>
  <si>
    <t>sdavila@haya.es</t>
  </si>
  <si>
    <t>Cristina Diaz-Plaza Sanchez</t>
  </si>
  <si>
    <t>cdiazplaza@haya.es</t>
  </si>
  <si>
    <t>imartinr@haya.es</t>
  </si>
  <si>
    <t>Maria Alvarez Perez</t>
  </si>
  <si>
    <t>malvarezp@haya.es</t>
  </si>
  <si>
    <t>idomingo@haya.es</t>
  </si>
  <si>
    <t>valfonso@haya.es</t>
  </si>
  <si>
    <t>tdiez@haya.es</t>
  </si>
  <si>
    <t>Amparo Costa Diego</t>
  </si>
  <si>
    <t>acosta@haya.es</t>
  </si>
  <si>
    <t>gmartinezd@haya.es</t>
  </si>
  <si>
    <t>Sandra Montes Herraez</t>
  </si>
  <si>
    <t>smontes@haya.es</t>
  </si>
  <si>
    <t>csanchezd@haya.es</t>
  </si>
  <si>
    <t>Vanessa Martinez Martin</t>
  </si>
  <si>
    <t>rejarque@haya.es</t>
  </si>
  <si>
    <t>Desamparados Palomares Peris</t>
  </si>
  <si>
    <t>dpalomares@haya.es</t>
  </si>
  <si>
    <t>lnestar@haya.es</t>
  </si>
  <si>
    <t>rtalavera@haya.es</t>
  </si>
  <si>
    <t>mblascop@haya.es</t>
  </si>
  <si>
    <t>gmurcia@haya.es</t>
  </si>
  <si>
    <t>Simon Real Sanchez</t>
  </si>
  <si>
    <t>sreal@haya.es</t>
  </si>
  <si>
    <t>lalonsod@haya.es</t>
  </si>
  <si>
    <t>Javier Cantero Morueco</t>
  </si>
  <si>
    <t>jcantero@haya.es</t>
  </si>
  <si>
    <t>bvivancos@haya.es</t>
  </si>
  <si>
    <t>prodriguezg@haya.es</t>
  </si>
  <si>
    <t>lmarcos@haya.es</t>
  </si>
  <si>
    <t>Jordi Sierra Rodriguez</t>
  </si>
  <si>
    <t>jsierra@haya.es</t>
  </si>
  <si>
    <t>Nuria Benedicto Guzman</t>
  </si>
  <si>
    <t>nbenedicto@haya.es</t>
  </si>
  <si>
    <t>Alicia Jimenez Estalrich</t>
  </si>
  <si>
    <t>ajimeneze@haya.es</t>
  </si>
  <si>
    <t>Leticia Alonso Rodriguez</t>
  </si>
  <si>
    <t>lalonsor@haya.es</t>
  </si>
  <si>
    <t>lalbendin@haya.es</t>
  </si>
  <si>
    <t>jtoro@haya.es</t>
  </si>
  <si>
    <t>07. Control Interno. Gestión de Control Interno
08. Control Interno. Unidad de Aseguramiento</t>
  </si>
  <si>
    <t>01. Cumplimiento Normativo. Análisis de operativa de prevención de blanqueo de capitales (PBC).
02. Cumplimiento Normativo. Gestión de conflictos de interés.
03. Cumplimiento Normativo. Gestión del riesgo reputacional
04. Cumplimiento Normativo. Actuaciones de código ético y prevención de delitos
05. Auditoría Interna. Canal de denuncias
06. Auditoría Interna. Gestión del Plan Auditor.
07. Control Interno. Gestión de Control Interno.
08. Control Interno. Unidad de Aseguramiento</t>
  </si>
  <si>
    <t>1. Gestión</t>
  </si>
  <si>
    <t>2. Valoración</t>
  </si>
  <si>
    <t>3. Venta Institucional</t>
  </si>
  <si>
    <t>01. Gestión de carteras/IAM</t>
  </si>
  <si>
    <t>02. Valoración de soporte al negocio</t>
  </si>
  <si>
    <t>03. Procesos competidos y bilaterales</t>
  </si>
  <si>
    <t>01. Gestión de comunidades, inmuebles y gestorías (Administración)</t>
  </si>
  <si>
    <t>12. Ocultación de activos
13. Publicación de activos / republicación
14. Preciar los activos</t>
  </si>
  <si>
    <t>02. Gestión de cancelación de cargas (Admisión)
03. Gestión de documentación (Admisión)
04. Gestión de proveedores (Admisión)
05. Seguimiento liquidación de impuestos (en 2 días) (Admisión)
06. Seguimiento presentación en el registro (en 7 días) (Admisión)
07. Gestión de operativa diaria (Admisión)
08. Consulta en registro a los 45 días de estar presentado para su inscripción (Admisión)</t>
  </si>
  <si>
    <t>09. Backoffice de controller de incidencias de Sareb Responde (NILO) (Centro de Atención)
10. Recepción y registro de notificaciones (Centro de Atención)
11. Atención de reclamaciones, quejas e incidencias (Centro de Atención)</t>
  </si>
  <si>
    <t>1. Staff Marketing Táctico</t>
  </si>
  <si>
    <t>01. Pagos para clientes
02. Contabilidad clientes
03. Gestión de inventario
04. Gestión y presentación de impuestos
05. Pago de provisión de fondos y minutas</t>
  </si>
  <si>
    <t>03. Gestión de inventario</t>
  </si>
  <si>
    <t>02. Contabilidad clientes
04. Gestión y presentación de impuestos</t>
  </si>
  <si>
    <t>01. Pagos para clientes</t>
  </si>
  <si>
    <t>OGF (Luis Nogales)</t>
  </si>
  <si>
    <t xml:space="preserve">lnogales@grupogf.es </t>
  </si>
  <si>
    <t>4. Staff Publicación y Precios (PyP)</t>
  </si>
  <si>
    <t>1. Dirección Auditoría Interna</t>
  </si>
  <si>
    <t>01. Seguimiento de objetivos de venta
02. Seguimiento de canales de venta
03. Gestión de campañas actuales
04. Seguimiento periódico con clientes
05. Gestión de rutinas comerciales
06. Nuevas campañas
07. Continuidad de los portales web (web, web oficina, web API, Sareb)
10. Seguimiento de inversión de marketing</t>
  </si>
  <si>
    <t>03. Formalización de operaciones
05. Gestión de documentación para firmas y llaves
07. Prevención de blanqueo de capitales
09. Gestión de Cobro (transacción TXNeo)
10. Informe semanal/mensual de operaciones formalizadas
11. Gestión VPO (Vivienda de Protección Oficial)</t>
  </si>
  <si>
    <t>06. Operaciones REOS Cajamar (Grabación)
08. Gestión y cierre de la minuta</t>
  </si>
  <si>
    <t>09. Formalización (Soporte de Deuda)</t>
  </si>
  <si>
    <t>10. Contabilización de activos financieros (Soporte de Deuda)</t>
  </si>
  <si>
    <t>8. Staff Soporte Deuda</t>
  </si>
  <si>
    <t>07. Gestión de suelo</t>
  </si>
  <si>
    <t>06. Actuaciones técnicas complejas (obra), desarrollo de promociones y cierre de obras (Desarrollo inmobiliario y suelo)</t>
  </si>
  <si>
    <t>6. Staff Edificación</t>
  </si>
  <si>
    <t>2. Staff para Liberbank</t>
  </si>
  <si>
    <t>3. Staff para Bankia</t>
  </si>
  <si>
    <t>4. Staff para Sareb</t>
  </si>
  <si>
    <t>5. Staff para Cajamar</t>
  </si>
  <si>
    <t>7. Externo al Área</t>
  </si>
  <si>
    <t>06. Mantenimiento Correctivo</t>
  </si>
  <si>
    <t>08. Onboarding y Migraciones de Salida</t>
  </si>
  <si>
    <t>09. Extracción de Datos
10. Carga de Datos DWH
11. Generación de Informes
12. Identificación/Definición Requisitos
13. Integridad del Dato</t>
  </si>
  <si>
    <t>2. Staff Bankia</t>
  </si>
  <si>
    <t>4. Staff Calidad de Procesos</t>
  </si>
  <si>
    <t>2. Staff Calidad de Servicio</t>
  </si>
  <si>
    <t>3. Staff Calidad del Dato</t>
  </si>
  <si>
    <t>5. Staff Onboarding</t>
  </si>
  <si>
    <t>6. Staff Procesos y Soporte de Litigios</t>
  </si>
  <si>
    <t>8. Proveedor</t>
  </si>
  <si>
    <t>3. Staff Cajamar</t>
  </si>
  <si>
    <t>4. Staff Sareb</t>
  </si>
  <si>
    <t>5. Staff Fuerza de Ventas</t>
  </si>
  <si>
    <t>6. Staff Liberbank</t>
  </si>
  <si>
    <t>7. Externa al Área</t>
  </si>
  <si>
    <t>01. Gestión y Reporting de Incidentes Ciberseguridad
02. Soporte a la Gestión de Derechos ARCO
14. Continuidad de Negocio</t>
  </si>
  <si>
    <t>14. Continuidad de Negocio</t>
  </si>
  <si>
    <t>Federico Segura</t>
  </si>
  <si>
    <t>sol.fsegura@externos.haya.es</t>
  </si>
  <si>
    <t>05. Control de Proveedores de Servicios</t>
  </si>
  <si>
    <t>03. Servicios Operacionales. Soporte Infraestructura
04. Servicios Operacionales. Envío de Información a Terceros</t>
  </si>
  <si>
    <t>07. Soporte y Desarrollo. Explotación de los Sistemas</t>
  </si>
  <si>
    <t>2. Staff Servicios Operacionales</t>
  </si>
  <si>
    <t>4. Staff Mantenimiento</t>
  </si>
  <si>
    <t>5. Staff Explotación</t>
  </si>
  <si>
    <t>7. Staff DWH</t>
  </si>
  <si>
    <t>3. Gestión Proveedores</t>
  </si>
  <si>
    <t>6. Staff Migraciones</t>
  </si>
  <si>
    <t>7. Staff Middle Office</t>
  </si>
  <si>
    <t>1. Dirección Middle Office</t>
  </si>
  <si>
    <t>8. Dirección de Área</t>
  </si>
  <si>
    <t>2. Staff Operaciones. Legal</t>
  </si>
  <si>
    <t>1. Perfil Único</t>
  </si>
  <si>
    <t>1. Técnico Administrativo</t>
  </si>
  <si>
    <t>2. Técnico Comercial / Atención Cliente</t>
  </si>
  <si>
    <t>3. Gestor Técnico</t>
  </si>
  <si>
    <t>Daniel Segura (Serban)</t>
  </si>
  <si>
    <t>vmartinez@haya.es</t>
  </si>
  <si>
    <t>Javier Gonzalez Gutierrez</t>
  </si>
  <si>
    <t>Michael Lopez Soler</t>
  </si>
  <si>
    <t>Roberto Menendez Sanchez</t>
  </si>
  <si>
    <t>Aitor Juez Gastañaga</t>
  </si>
  <si>
    <t>Borja Davila Escribano</t>
  </si>
  <si>
    <t>Maria Teresa Martin-Peñato Echevarria</t>
  </si>
  <si>
    <t>Elena Pozuelo Tejedor</t>
  </si>
  <si>
    <t>Maria del Carmen Sanchez-Beato Diaz-Marta</t>
  </si>
  <si>
    <t>Leticia Maria Estebanez Rodriguez</t>
  </si>
  <si>
    <t>Alejandra Angela Vilariño Targhetta</t>
  </si>
  <si>
    <t>Antonio Pablo Navas Ortega</t>
  </si>
  <si>
    <t>Olaya de la Torre San Evaristo</t>
  </si>
  <si>
    <t>Maria Teresa Alvaro Olivan</t>
  </si>
  <si>
    <t>Eugenia Blanco Barahona</t>
  </si>
  <si>
    <t>Jose Maria Burgueño Lopez</t>
  </si>
  <si>
    <t>Daniel Lopez Sanz</t>
  </si>
  <si>
    <t>Carlos Antonio Jimenez Hortelano</t>
  </si>
  <si>
    <t>Tarik Valoria Arauz</t>
  </si>
  <si>
    <t>Luis Alberto Rodrigo Piqueras</t>
  </si>
  <si>
    <t>Fernando Javier Vallepuga Gonzalez</t>
  </si>
  <si>
    <t>Jorge Manuel Boehme Diek</t>
  </si>
  <si>
    <t>PC</t>
  </si>
  <si>
    <t>jgonzalezg@haya.es</t>
  </si>
  <si>
    <t>mlopezs@haya.es</t>
  </si>
  <si>
    <t>rmenendez@haya.es</t>
  </si>
  <si>
    <t>ajuez@haya.es</t>
  </si>
  <si>
    <t>borjadavila@haya.es</t>
  </si>
  <si>
    <t>mmartinpenato@haya.es</t>
  </si>
  <si>
    <t>epozuelo@haya.es</t>
  </si>
  <si>
    <t>msanchezbeato@haya.es</t>
  </si>
  <si>
    <t>lestebanez@haya.es</t>
  </si>
  <si>
    <t>avilarino@haya.es</t>
  </si>
  <si>
    <t>anavas@haya.es</t>
  </si>
  <si>
    <t>odelatorre@haya.es</t>
  </si>
  <si>
    <t>malvaro@haya.es</t>
  </si>
  <si>
    <t>eblanco@haya.es</t>
  </si>
  <si>
    <t>jburgueno@haya.es</t>
  </si>
  <si>
    <t>dlopezs@haya.es</t>
  </si>
  <si>
    <t>cjimenez@haya.es</t>
  </si>
  <si>
    <t>tvaloria@haya.es</t>
  </si>
  <si>
    <t>lrodrigo@haya.es</t>
  </si>
  <si>
    <t>fvallepuga@haya.es</t>
  </si>
  <si>
    <t>jboehme@haya.es</t>
  </si>
  <si>
    <t>Alicante</t>
  </si>
  <si>
    <t>Calle Medina de Pomar, 27; 28042 Madrid</t>
  </si>
  <si>
    <t>Av. Cardenal Benlloch, 67; 46021 Valencia</t>
  </si>
  <si>
    <t>Edificio Marsamar C/ México, 20-5; 03008 Alicante</t>
  </si>
  <si>
    <t>Calle General Aguilera 10, 1º Planta; 13001 Ciudad Real</t>
  </si>
  <si>
    <t>Paseo Milicias de Garachico, 1; Local 31; 38002 Santa Cruz de Tenerife</t>
  </si>
  <si>
    <t>MAD03</t>
  </si>
  <si>
    <t>VAL02</t>
  </si>
  <si>
    <t>ALI03</t>
  </si>
  <si>
    <t>REA02</t>
  </si>
  <si>
    <t>TEN02</t>
  </si>
  <si>
    <t>Barcelona</t>
  </si>
  <si>
    <t>1. Staff Controling y Reporting Clientes</t>
  </si>
  <si>
    <t xml:space="preserve">
01. Calidad de Servicio
02. Calidad del Dato
03. Calidad de Procesos
04. Onboarding
05. Procesos y Soporte de Litigios
06. Oficina Proyectos e Innovación</t>
  </si>
  <si>
    <t>01. Calidad de Servicio</t>
  </si>
  <si>
    <t>02. Calidad del Dato</t>
  </si>
  <si>
    <t>03. Calidad de Procesos</t>
  </si>
  <si>
    <t>04. Onboarding</t>
  </si>
  <si>
    <t>05. Procesos y Soporte de Litigios</t>
  </si>
  <si>
    <t>21. Atención a peticiones de gestión documental que no estén en el gestor documental</t>
  </si>
  <si>
    <t>5. Staff Transformación Organizativa</t>
  </si>
  <si>
    <t>06. Mantenimiento Correctivo (REM)</t>
  </si>
  <si>
    <t>06. Mantenimiento Correctivo (IRIS)</t>
  </si>
  <si>
    <t>EDIFICIO EN CONTINGENCIA</t>
  </si>
  <si>
    <t>Equipo de Recuperación PCN</t>
  </si>
  <si>
    <t>LID</t>
  </si>
  <si>
    <t>SLID</t>
  </si>
  <si>
    <t>Total (dinámico)</t>
  </si>
  <si>
    <t>LEYENDA PARA COMITÉ DE GESTIÓN DE CRISIS</t>
  </si>
  <si>
    <t>Equipo puesto en marcha (LID/SLID localizado)</t>
  </si>
  <si>
    <t>No se ha localizado al LID/SLID</t>
  </si>
  <si>
    <t>LEYENDA PARA LÍDERES DE RECUPERACIÓN</t>
  </si>
  <si>
    <t>Personal crítico de 2 semana</t>
  </si>
  <si>
    <t>EL PERSONAL CRÍTICO EN CADA FRANJA ES EL ACUMULADO</t>
  </si>
  <si>
    <t>Backups</t>
  </si>
  <si>
    <t>TOTALES</t>
  </si>
  <si>
    <t>LOCALIZADOS</t>
  </si>
  <si>
    <t>Responsables y CANs/BCANs</t>
  </si>
  <si>
    <t>Personal Crítico/Backup LOCALIZADO</t>
  </si>
  <si>
    <t>Equipos del Plan de Continuidad de Negocio</t>
  </si>
  <si>
    <t>Avda. Josep Tarradellas, 34-36; 08029 Barcelona</t>
  </si>
  <si>
    <t>Alameda de Colón, 15; 29001 Málaga</t>
  </si>
  <si>
    <t>Calle Buhaira 28; 41018 Sevilla</t>
  </si>
  <si>
    <t>Si</t>
  </si>
  <si>
    <t>Las Palmas De Gran Canaria</t>
  </si>
  <si>
    <t>07. Elaboración de propuestas
08. Remitir propuestas sobre acreditados a clientes
09. Consulta de expedientes
10. Respuesta a consultas específicas de los clientes y acreditados
11. Formalización (jurídica y contable) y seguimiento de operaciones</t>
  </si>
  <si>
    <t>3. Staff Gestión de deuda</t>
  </si>
  <si>
    <t>FS / JS / AN - SolCN</t>
  </si>
  <si>
    <t>Árbol de Llamadas HRE 2020</t>
  </si>
  <si>
    <t>BAR03</t>
  </si>
  <si>
    <t>MAL03</t>
  </si>
  <si>
    <t>SEV04</t>
  </si>
  <si>
    <t>AÑO 2020</t>
  </si>
  <si>
    <t>10. NI. Activos Singulares y Desarrollo Inmobiliario</t>
  </si>
  <si>
    <t>08. DNAS. Advisory e Inversión Institucional</t>
  </si>
  <si>
    <t>01. Asesoría Jurídica y Relaciones Institucionales</t>
  </si>
  <si>
    <t>02. Auditoría y Cumplimiento</t>
  </si>
  <si>
    <t>12. Organización y Calidad de Datos y Procesos</t>
  </si>
  <si>
    <t>03. DGFCG. Compras, Facturación y Gestión de Proveedores</t>
  </si>
  <si>
    <t>04. DGFCG. Contabilidad de Clientes</t>
  </si>
  <si>
    <t>05. DGFCG. Contabilidad y Comisionamiento de Haya</t>
  </si>
  <si>
    <t>07. DGFCG. Planificación, Control, Tesorería y Reporting</t>
  </si>
  <si>
    <t>20. Tecnologías de la Información</t>
  </si>
  <si>
    <t>17. Rental Asset Management</t>
  </si>
  <si>
    <t>09. DNAS. Marketing, Canales y CC</t>
  </si>
  <si>
    <t>19. RSD. Servicing Deuda Sareb</t>
  </si>
  <si>
    <t>11. NI. Red de Negocio Minorista</t>
  </si>
  <si>
    <t>18. RSD. Recuperaciones y Soporte de Deuda</t>
  </si>
  <si>
    <t>13. REAM. Entrada y Saneamiento de Cartera</t>
  </si>
  <si>
    <t>14. REAM. Formalización</t>
  </si>
  <si>
    <t>16. Recursos Humanos y Servicios Generales</t>
  </si>
  <si>
    <t>06. DGFCG. Finanzas Cerberus</t>
  </si>
  <si>
    <t xml:space="preserve">15. REAM. Servicios Jurídicos </t>
  </si>
  <si>
    <t>21/01/2020 (1ª actualización Pre-BIA)</t>
  </si>
  <si>
    <t>Portátil</t>
  </si>
  <si>
    <t>3. Dirección Fiscal</t>
  </si>
  <si>
    <t>04. Seguimiento/presentación de los impuestos
05. Presentación de recursos contra actos administrativos tributarios
06. Cumplimiento y obligaciones fiscales relacionados con las adquisiciones de inmuebles en subastas
07. Seguimiento de la presentación de los reportes fiscales a Sareb
08. Atención de requerimientos en plazo
09. Informe Fiscal para ventas de inmuebles y operaciones de préstamos</t>
  </si>
  <si>
    <t>4. Staff Fiscal</t>
  </si>
  <si>
    <t>RESUMEN ACUMULADO</t>
  </si>
  <si>
    <t>RESUMEN SIN ACUMULAR</t>
  </si>
  <si>
    <t>01.000.00.0</t>
  </si>
  <si>
    <t>01.00.000.0</t>
  </si>
  <si>
    <t>No procede</t>
  </si>
  <si>
    <t>01.010.00.1</t>
  </si>
  <si>
    <t>01.00.010.1</t>
  </si>
  <si>
    <t>01.020.00.0</t>
  </si>
  <si>
    <t>01.00.020.0</t>
  </si>
  <si>
    <t>01.039.01.1</t>
  </si>
  <si>
    <t>01.01.039.1</t>
  </si>
  <si>
    <t>01.109.01.1</t>
  </si>
  <si>
    <t>01.01.109.1</t>
  </si>
  <si>
    <t>02.000.00.0</t>
  </si>
  <si>
    <t>02.00.000.0</t>
  </si>
  <si>
    <t>02.010.00.1</t>
  </si>
  <si>
    <t>02.00.010.1</t>
  </si>
  <si>
    <t>02.020.00.0</t>
  </si>
  <si>
    <t>02.00.020.0</t>
  </si>
  <si>
    <t>02.031.01.1</t>
  </si>
  <si>
    <t>02.01.031.1</t>
  </si>
  <si>
    <t>02.032.01.0</t>
  </si>
  <si>
    <t>02.01.032.0</t>
  </si>
  <si>
    <t>02.052.01.0</t>
  </si>
  <si>
    <t>02.01.052.0</t>
  </si>
  <si>
    <t>02.062.01.0</t>
  </si>
  <si>
    <t>02.01.062.0</t>
  </si>
  <si>
    <t>02.063.05.1</t>
  </si>
  <si>
    <t>02.05.063.1</t>
  </si>
  <si>
    <t>02.064.07.0</t>
  </si>
  <si>
    <t>02.07.064.0</t>
  </si>
  <si>
    <t>02.102.01.1</t>
  </si>
  <si>
    <t>02.01.102.1</t>
  </si>
  <si>
    <t>02.103.05.0</t>
  </si>
  <si>
    <t>02.05.103.0</t>
  </si>
  <si>
    <t>02.104.07.1</t>
  </si>
  <si>
    <t>02.07.104.1</t>
  </si>
  <si>
    <t>02.212.01.0</t>
  </si>
  <si>
    <t>02.01.212.0</t>
  </si>
  <si>
    <t>N/A</t>
  </si>
  <si>
    <t>03.000.00.1</t>
  </si>
  <si>
    <t>03.00.000.1</t>
  </si>
  <si>
    <t>03.010.00.0</t>
  </si>
  <si>
    <t>03.00.010.0</t>
  </si>
  <si>
    <t>03.020.00.1</t>
  </si>
  <si>
    <t>03.00.020.1</t>
  </si>
  <si>
    <t>03.041.01.0</t>
  </si>
  <si>
    <t>03.01.041.0</t>
  </si>
  <si>
    <t>03.041.01.1</t>
  </si>
  <si>
    <t>03.01.041.1</t>
  </si>
  <si>
    <t>03.051.01.0</t>
  </si>
  <si>
    <t>03.01.051.0</t>
  </si>
  <si>
    <t>03.052.05.1</t>
  </si>
  <si>
    <t>03.05.052.1</t>
  </si>
  <si>
    <t>Divarian</t>
  </si>
  <si>
    <t>03.112.05.1</t>
  </si>
  <si>
    <t>03.05.112.1</t>
  </si>
  <si>
    <t>04.000.00.0</t>
  </si>
  <si>
    <t>04.00.000.0</t>
  </si>
  <si>
    <t>04.010.00.1</t>
  </si>
  <si>
    <t>04.00.010.1</t>
  </si>
  <si>
    <t>04.020.00.0</t>
  </si>
  <si>
    <t>04.00.020.0</t>
  </si>
  <si>
    <t>04.041.02.1</t>
  </si>
  <si>
    <t>04.02.041.1</t>
  </si>
  <si>
    <t>04.042.01.0</t>
  </si>
  <si>
    <t>04.01.042.0</t>
  </si>
  <si>
    <t>04.043.01.0</t>
  </si>
  <si>
    <t>04.01.043.0</t>
  </si>
  <si>
    <t>04.051.01.1</t>
  </si>
  <si>
    <t>04.01.051.1</t>
  </si>
  <si>
    <t>04.051.02.0</t>
  </si>
  <si>
    <t>04.02.051.0</t>
  </si>
  <si>
    <t>04.053.01.1</t>
  </si>
  <si>
    <t>04.01.053.1</t>
  </si>
  <si>
    <t>04.061.02.0</t>
  </si>
  <si>
    <t>04.02.061.0</t>
  </si>
  <si>
    <t>04.061.03.1</t>
  </si>
  <si>
    <t>04.03.061.1</t>
  </si>
  <si>
    <t>04.062.01.0</t>
  </si>
  <si>
    <t>04.01.062.0</t>
  </si>
  <si>
    <t>04.071.01.1</t>
  </si>
  <si>
    <t>04.01.071.1</t>
  </si>
  <si>
    <t>04.071.03.0</t>
  </si>
  <si>
    <t>04.03.071.0</t>
  </si>
  <si>
    <t>04.073.01.1</t>
  </si>
  <si>
    <t>04.01.073.1</t>
  </si>
  <si>
    <t>04.101.01.0</t>
  </si>
  <si>
    <t>04.01.101.0</t>
  </si>
  <si>
    <t>04.101.02.1</t>
  </si>
  <si>
    <t>04.02.101.1</t>
  </si>
  <si>
    <t>04.101.03.0</t>
  </si>
  <si>
    <t>04.03.101.0</t>
  </si>
  <si>
    <t>04.102.01.1</t>
  </si>
  <si>
    <t>04.01.102.1</t>
  </si>
  <si>
    <t>05.000.00.0</t>
  </si>
  <si>
    <t>05.00.000.0</t>
  </si>
  <si>
    <t>05.010.00.1</t>
  </si>
  <si>
    <t>05.00.010.1</t>
  </si>
  <si>
    <t>05.020.00.0</t>
  </si>
  <si>
    <t>05.00.020.0</t>
  </si>
  <si>
    <t>05.061.01.1</t>
  </si>
  <si>
    <t>05.01.061.1</t>
  </si>
  <si>
    <t>05.062.03.0</t>
  </si>
  <si>
    <t>05.03.062.0</t>
  </si>
  <si>
    <t>05.071.01.1</t>
  </si>
  <si>
    <t>05.01.071.1</t>
  </si>
  <si>
    <t>05.072.03.0</t>
  </si>
  <si>
    <t>05.03.072.0</t>
  </si>
  <si>
    <t>05.101.01.1</t>
  </si>
  <si>
    <t>05.01.101.1</t>
  </si>
  <si>
    <t>05.102.03.0</t>
  </si>
  <si>
    <t>05.03.102.0</t>
  </si>
  <si>
    <t>05.201.01.1</t>
  </si>
  <si>
    <t>05.01.201.1</t>
  </si>
  <si>
    <t>05.202.03.0</t>
  </si>
  <si>
    <t>05.03.202.0</t>
  </si>
  <si>
    <t>07.000.00.1</t>
  </si>
  <si>
    <t>07.00.000.1</t>
  </si>
  <si>
    <t>07.010.00.0</t>
  </si>
  <si>
    <t>07.00.010.0</t>
  </si>
  <si>
    <t>07.020.00.1</t>
  </si>
  <si>
    <t>07.00.020.1</t>
  </si>
  <si>
    <t>07.052.03.0</t>
  </si>
  <si>
    <t>07.03.052.0</t>
  </si>
  <si>
    <t>07.061.01.1</t>
  </si>
  <si>
    <t>07.01.061.1</t>
  </si>
  <si>
    <t>07.101.01.1</t>
  </si>
  <si>
    <t>07.01.101.1</t>
  </si>
  <si>
    <t>07.102.03.0</t>
  </si>
  <si>
    <t>07.03.102.0</t>
  </si>
  <si>
    <t>08.000.00.1</t>
  </si>
  <si>
    <t>08.00.000.1</t>
  </si>
  <si>
    <t>08.010.00.0</t>
  </si>
  <si>
    <t>08.00.010.0</t>
  </si>
  <si>
    <t>08.020.00.1</t>
  </si>
  <si>
    <t>08.00.020.1</t>
  </si>
  <si>
    <t>08.041.01.0</t>
  </si>
  <si>
    <t>08.01.041.0</t>
  </si>
  <si>
    <t>08.072.02.1</t>
  </si>
  <si>
    <t>08.02.072.1</t>
  </si>
  <si>
    <t>08.073.03.0</t>
  </si>
  <si>
    <t>08.03.073.0</t>
  </si>
  <si>
    <t>08.101.01.1</t>
  </si>
  <si>
    <t>08.01.101.1</t>
  </si>
  <si>
    <t>08.102.02.0</t>
  </si>
  <si>
    <t>08.02.102.0</t>
  </si>
  <si>
    <t>08.103.03.1</t>
  </si>
  <si>
    <t>08.03.103.1</t>
  </si>
  <si>
    <t>09.000.00.0</t>
  </si>
  <si>
    <t>09.00.000.0</t>
  </si>
  <si>
    <t>09.010.00.1</t>
  </si>
  <si>
    <t>09.00.010.1</t>
  </si>
  <si>
    <t>09.020.00.0</t>
  </si>
  <si>
    <t>09.00.020.0</t>
  </si>
  <si>
    <t>09.031.01.1</t>
  </si>
  <si>
    <t>09.01.031.1</t>
  </si>
  <si>
    <t>09.042.08.0</t>
  </si>
  <si>
    <t>09.08.042.0</t>
  </si>
  <si>
    <t>09.043.09.1</t>
  </si>
  <si>
    <t>09.09.043.1</t>
  </si>
  <si>
    <t>09.061.01.0</t>
  </si>
  <si>
    <t>09.01.061.0</t>
  </si>
  <si>
    <t>09.071.01.0</t>
  </si>
  <si>
    <t>09.01.071.0</t>
  </si>
  <si>
    <t>09.102.08.1</t>
  </si>
  <si>
    <t>09.08.102.1</t>
  </si>
  <si>
    <t>09.213.09.0</t>
  </si>
  <si>
    <t>09.09.213.0</t>
  </si>
  <si>
    <t>09.216.07.1</t>
  </si>
  <si>
    <t>09.07.216.1</t>
  </si>
  <si>
    <t>10.000.00.0</t>
  </si>
  <si>
    <t>10.00.000.0</t>
  </si>
  <si>
    <t>629853863</t>
  </si>
  <si>
    <t>10.010.00.1</t>
  </si>
  <si>
    <t>10.00.010.1</t>
  </si>
  <si>
    <t>10.020.00.0</t>
  </si>
  <si>
    <t>10.00.020.0</t>
  </si>
  <si>
    <t>Sevilla</t>
  </si>
  <si>
    <t>10.041.01.1</t>
  </si>
  <si>
    <t>10.01.041.1</t>
  </si>
  <si>
    <t>Málaga</t>
  </si>
  <si>
    <t>10.042.01.1</t>
  </si>
  <si>
    <t>10.01.042.1</t>
  </si>
  <si>
    <t>10.043.01.1</t>
  </si>
  <si>
    <t>10.01.043.1</t>
  </si>
  <si>
    <t>10.044.01.1</t>
  </si>
  <si>
    <t>10.01.044.1</t>
  </si>
  <si>
    <t>10.045.01.1</t>
  </si>
  <si>
    <t>10.01.045.1</t>
  </si>
  <si>
    <t>10.054.01.1</t>
  </si>
  <si>
    <t>10.01.054.1</t>
  </si>
  <si>
    <t>10.056.06.0</t>
  </si>
  <si>
    <t>10.06.056.0</t>
  </si>
  <si>
    <t>10.063.01.1</t>
  </si>
  <si>
    <t>10.01.063.1</t>
  </si>
  <si>
    <t>10.064.01.1</t>
  </si>
  <si>
    <t>10.01.064.1</t>
  </si>
  <si>
    <t>10.066.07.0</t>
  </si>
  <si>
    <t>10.07.066.0</t>
  </si>
  <si>
    <t>10.076.06.1</t>
  </si>
  <si>
    <t>10.06.076.1</t>
  </si>
  <si>
    <t>10.103.01.0</t>
  </si>
  <si>
    <t>10.01.103.0</t>
  </si>
  <si>
    <t>Palma De Mallorca</t>
  </si>
  <si>
    <t>10.106.06.1</t>
  </si>
  <si>
    <t>10.06.106.1</t>
  </si>
  <si>
    <t>10.206.06.1</t>
  </si>
  <si>
    <t>10.06.206.1</t>
  </si>
  <si>
    <t>10.207.01.0</t>
  </si>
  <si>
    <t>10.01.207.0</t>
  </si>
  <si>
    <t>11.000.00.1</t>
  </si>
  <si>
    <t>11.00.000.1</t>
  </si>
  <si>
    <t>11.010.00.0</t>
  </si>
  <si>
    <t>11.00.010.0</t>
  </si>
  <si>
    <t>11.020.00.1</t>
  </si>
  <si>
    <t>11.00.020.1</t>
  </si>
  <si>
    <t>11.041.01.0</t>
  </si>
  <si>
    <t>11.01.041.0</t>
  </si>
  <si>
    <t>11.043.01.0</t>
  </si>
  <si>
    <t>11.01.043.0</t>
  </si>
  <si>
    <t>Murcia</t>
  </si>
  <si>
    <t>11.044.01.0</t>
  </si>
  <si>
    <t>11.01.044.0</t>
  </si>
  <si>
    <t>11.045.04.1</t>
  </si>
  <si>
    <t>11.04.045.1</t>
  </si>
  <si>
    <t>11.047.01.0</t>
  </si>
  <si>
    <t>11.01.047.0</t>
  </si>
  <si>
    <t>11.052.08.1</t>
  </si>
  <si>
    <t>11.08.052.1</t>
  </si>
  <si>
    <t>11.056.08.1</t>
  </si>
  <si>
    <t>11.08.056.1</t>
  </si>
  <si>
    <t>Ciudad Real</t>
  </si>
  <si>
    <t>11.057.01.0</t>
  </si>
  <si>
    <t>11.01.057.0</t>
  </si>
  <si>
    <t>11.062.08.1</t>
  </si>
  <si>
    <t>11.08.062.1</t>
  </si>
  <si>
    <t>11.063.01.0</t>
  </si>
  <si>
    <t>11.01.063.0</t>
  </si>
  <si>
    <t>11.064.01.0</t>
  </si>
  <si>
    <t>11.01.064.0</t>
  </si>
  <si>
    <t>11.067.01.0</t>
  </si>
  <si>
    <t>11.01.067.0</t>
  </si>
  <si>
    <t>Ávila</t>
  </si>
  <si>
    <t>11.074.01.0</t>
  </si>
  <si>
    <t>11.01.074.0</t>
  </si>
  <si>
    <t>Tenerife</t>
  </si>
  <si>
    <t>11.103.01.0</t>
  </si>
  <si>
    <t>11.01.103.0</t>
  </si>
  <si>
    <t>11.113.01.0</t>
  </si>
  <si>
    <t>11.01.113.0</t>
  </si>
  <si>
    <t>11.123.01.0</t>
  </si>
  <si>
    <t>11.01.123.0</t>
  </si>
  <si>
    <t>11.124.01.0</t>
  </si>
  <si>
    <t>11.01.124.0</t>
  </si>
  <si>
    <t>11.207.04.1</t>
  </si>
  <si>
    <t>11.04.207.1</t>
  </si>
  <si>
    <t>11.218.04.1</t>
  </si>
  <si>
    <t>11.04.218.1</t>
  </si>
  <si>
    <t>12.000.00.0</t>
  </si>
  <si>
    <t>12.00.000.0</t>
  </si>
  <si>
    <t>12.010.00.1</t>
  </si>
  <si>
    <t>12.00.010.1</t>
  </si>
  <si>
    <t>12.020.00.0</t>
  </si>
  <si>
    <t>12.00.020.0</t>
  </si>
  <si>
    <t>12.035.04.1</t>
  </si>
  <si>
    <t>12.04.035.1</t>
  </si>
  <si>
    <t>12.042.01.0</t>
  </si>
  <si>
    <t>12.01.042.0</t>
  </si>
  <si>
    <t>12.043.02.1</t>
  </si>
  <si>
    <t>12.02.043.1</t>
  </si>
  <si>
    <t>12.044.02.1</t>
  </si>
  <si>
    <t>12.02.044.1</t>
  </si>
  <si>
    <t>12.044.03.0</t>
  </si>
  <si>
    <t>12.03.044.0</t>
  </si>
  <si>
    <t>12.048.
0.1</t>
  </si>
  <si>
    <t>12.
0.048.1</t>
  </si>
  <si>
    <t>12.054.03.0</t>
  </si>
  <si>
    <t>12.03.054.0</t>
  </si>
  <si>
    <t>12.063.02.1</t>
  </si>
  <si>
    <t>12.02.063.1</t>
  </si>
  <si>
    <t>12.066.05.0</t>
  </si>
  <si>
    <t>12.05.066.0</t>
  </si>
  <si>
    <t>12.102.01.1</t>
  </si>
  <si>
    <t>12.01.102.1</t>
  </si>
  <si>
    <t>12.105.04.0</t>
  </si>
  <si>
    <t>12.04.105.0</t>
  </si>
  <si>
    <t>12.106.05.1</t>
  </si>
  <si>
    <t>12.05.106.1</t>
  </si>
  <si>
    <t>13.000.00.0</t>
  </si>
  <si>
    <t>13.00.000.0</t>
  </si>
  <si>
    <t>13.010.00.1</t>
  </si>
  <si>
    <t>13.00.010.1</t>
  </si>
  <si>
    <t>13.020.00.0</t>
  </si>
  <si>
    <t>13.00.020.0</t>
  </si>
  <si>
    <t>13.031.02.1</t>
  </si>
  <si>
    <t>13.02.031.1</t>
  </si>
  <si>
    <t>13.033.09.0</t>
  </si>
  <si>
    <t>13.09.033.0</t>
  </si>
  <si>
    <t>13.041.01.1</t>
  </si>
  <si>
    <t>13.01.041.1</t>
  </si>
  <si>
    <t>13.041.02.0</t>
  </si>
  <si>
    <t>13.02.041.0</t>
  </si>
  <si>
    <t>13.042.02.1</t>
  </si>
  <si>
    <t>13.02.042.1</t>
  </si>
  <si>
    <t>13.043.09.0</t>
  </si>
  <si>
    <t>13.09.043.0</t>
  </si>
  <si>
    <t>13.045.21.1</t>
  </si>
  <si>
    <t>13.21.045.1</t>
  </si>
  <si>
    <t>13.052.02.0</t>
  </si>
  <si>
    <t>13.02.052.0</t>
  </si>
  <si>
    <t>13.053.09.1</t>
  </si>
  <si>
    <t>13.09.053.1</t>
  </si>
  <si>
    <t>13.054.12.0</t>
  </si>
  <si>
    <t>13.12.054.0</t>
  </si>
  <si>
    <t>13.055.21.1</t>
  </si>
  <si>
    <t>13.21.055.1</t>
  </si>
  <si>
    <t>13.061.01.0</t>
  </si>
  <si>
    <t>13.01.061.0</t>
  </si>
  <si>
    <t>13.062.02.1</t>
  </si>
  <si>
    <t>13.02.062.1</t>
  </si>
  <si>
    <t>13.064.12.0</t>
  </si>
  <si>
    <t>13.12.064.0</t>
  </si>
  <si>
    <t>13.071.01.1</t>
  </si>
  <si>
    <t>13.01.071.1</t>
  </si>
  <si>
    <t>13.071.01.0</t>
  </si>
  <si>
    <t>13.01.071.0</t>
  </si>
  <si>
    <t>13.075.21.1</t>
  </si>
  <si>
    <t>13.21.075.1</t>
  </si>
  <si>
    <t>13.101.01.0</t>
  </si>
  <si>
    <t>13.01.101.0</t>
  </si>
  <si>
    <t>13.102.02.1</t>
  </si>
  <si>
    <t>13.02.102.1</t>
  </si>
  <si>
    <t>13.103.09.0</t>
  </si>
  <si>
    <t>13.09.103.0</t>
  </si>
  <si>
    <t>13.104.12.1</t>
  </si>
  <si>
    <t>13.12.104.1</t>
  </si>
  <si>
    <t>13.105.21.0</t>
  </si>
  <si>
    <t>13.21.105.0</t>
  </si>
  <si>
    <t>13.112.02.1</t>
  </si>
  <si>
    <t>13.02.112.1</t>
  </si>
  <si>
    <t>13.113.09.0</t>
  </si>
  <si>
    <t>13.09.113.0</t>
  </si>
  <si>
    <t>13.114.12.1</t>
  </si>
  <si>
    <t>13.12.114.1</t>
  </si>
  <si>
    <t>13.123.09.0</t>
  </si>
  <si>
    <t>13.09.123.0</t>
  </si>
  <si>
    <t>13.218.21.1</t>
  </si>
  <si>
    <t>13.21.218.1</t>
  </si>
  <si>
    <t>13.219.02.0</t>
  </si>
  <si>
    <t>13.02.219.0</t>
  </si>
  <si>
    <t>13.219.12.1</t>
  </si>
  <si>
    <t>13.12.219.1</t>
  </si>
  <si>
    <t>14.000.00.0</t>
  </si>
  <si>
    <t>14.00.000.0</t>
  </si>
  <si>
    <t>14.010.00.1</t>
  </si>
  <si>
    <t>14.00.010.1</t>
  </si>
  <si>
    <t>14.020.00.0</t>
  </si>
  <si>
    <t>14.00.020.0</t>
  </si>
  <si>
    <t>14.039.03.1</t>
  </si>
  <si>
    <t>14.03.039.1</t>
  </si>
  <si>
    <t>14.049.06.0</t>
  </si>
  <si>
    <t>14.06.049.0</t>
  </si>
  <si>
    <t>14.059.03.1</t>
  </si>
  <si>
    <t>14.03.059.1</t>
  </si>
  <si>
    <t>14.059.06.0</t>
  </si>
  <si>
    <t>14.06.059.0</t>
  </si>
  <si>
    <t>14.069.03.1</t>
  </si>
  <si>
    <t>14.03.069.1</t>
  </si>
  <si>
    <t>14.069.06.0</t>
  </si>
  <si>
    <t>14.06.069.0</t>
  </si>
  <si>
    <t>14.079.03.1</t>
  </si>
  <si>
    <t>14.03.079.1</t>
  </si>
  <si>
    <t>Logroño</t>
  </si>
  <si>
    <t>14.079.06.0</t>
  </si>
  <si>
    <t>14.06.079.0</t>
  </si>
  <si>
    <t>14.109.03.1</t>
  </si>
  <si>
    <t>14.03.109.1</t>
  </si>
  <si>
    <t>14.119.03.1</t>
  </si>
  <si>
    <t>14.03.119.1</t>
  </si>
  <si>
    <t>14.219.03.1</t>
  </si>
  <si>
    <t>14.03.219.1</t>
  </si>
  <si>
    <t>15.000.00.0</t>
  </si>
  <si>
    <t>15.00.000.0</t>
  </si>
  <si>
    <t>15.010.00.1</t>
  </si>
  <si>
    <t>15.00.010.1</t>
  </si>
  <si>
    <t>15.020.00.0</t>
  </si>
  <si>
    <t>15.00.020.0</t>
  </si>
  <si>
    <t>15.033.04.1</t>
  </si>
  <si>
    <t>15.04.033.1</t>
  </si>
  <si>
    <t>15.041.01.0</t>
  </si>
  <si>
    <t>15.01.041.0</t>
  </si>
  <si>
    <t>15.042.01.0</t>
  </si>
  <si>
    <t>15.01.042.0</t>
  </si>
  <si>
    <t>15.044.04.1</t>
  </si>
  <si>
    <t>15.04.044.1</t>
  </si>
  <si>
    <t>15.052.01.0</t>
  </si>
  <si>
    <t>15.01.052.0</t>
  </si>
  <si>
    <t>15.054.04.1</t>
  </si>
  <si>
    <t>15.04.054.1</t>
  </si>
  <si>
    <t>15.062.01.0</t>
  </si>
  <si>
    <t>15.01.062.0</t>
  </si>
  <si>
    <t>15.064.04.1</t>
  </si>
  <si>
    <t>15.04.064.1</t>
  </si>
  <si>
    <t>15.072.01.0</t>
  </si>
  <si>
    <t>15.01.072.0</t>
  </si>
  <si>
    <t>15.074.04.1</t>
  </si>
  <si>
    <t>15.04.074.1</t>
  </si>
  <si>
    <t>15.104.04.1</t>
  </si>
  <si>
    <t>15.04.104.1</t>
  </si>
  <si>
    <t>16.000.00.0</t>
  </si>
  <si>
    <t>16.00.000.0</t>
  </si>
  <si>
    <t>16.010.00.1</t>
  </si>
  <si>
    <t>16.00.010.1</t>
  </si>
  <si>
    <t>16.020.00.0</t>
  </si>
  <si>
    <t>16.00.020.0</t>
  </si>
  <si>
    <t>16.051.01.1</t>
  </si>
  <si>
    <t>16.01.051.1</t>
  </si>
  <si>
    <t>16.072.02.0</t>
  </si>
  <si>
    <t>16.02.072.0</t>
  </si>
  <si>
    <t>16.101.01.1</t>
  </si>
  <si>
    <t>16.01.101.1</t>
  </si>
  <si>
    <t>16.102.02.0</t>
  </si>
  <si>
    <t>16.02.102.0</t>
  </si>
  <si>
    <t>17.000.00.1</t>
  </si>
  <si>
    <t>17.00.000.1</t>
  </si>
  <si>
    <t>17.010.00.0</t>
  </si>
  <si>
    <t>17.00.010.0</t>
  </si>
  <si>
    <t>17.020.00.1</t>
  </si>
  <si>
    <t>17.00.020.1</t>
  </si>
  <si>
    <t>17.041.01.0</t>
  </si>
  <si>
    <t>17.01.041.0</t>
  </si>
  <si>
    <t>17.043.04.1</t>
  </si>
  <si>
    <t>17.04.043.1</t>
  </si>
  <si>
    <t>17.051.01.0</t>
  </si>
  <si>
    <t>17.01.051.0</t>
  </si>
  <si>
    <t>17.052.03.1</t>
  </si>
  <si>
    <t>17.03.052.1</t>
  </si>
  <si>
    <t>17.061.01.0</t>
  </si>
  <si>
    <t>17.01.061.0</t>
  </si>
  <si>
    <t>17.063.04.1</t>
  </si>
  <si>
    <t>17.04.063.1</t>
  </si>
  <si>
    <t>17.101.01.0</t>
  </si>
  <si>
    <t>17.01.101.0</t>
  </si>
  <si>
    <t>17.102.03.1</t>
  </si>
  <si>
    <t>17.03.102.1</t>
  </si>
  <si>
    <t>17.103.04.0</t>
  </si>
  <si>
    <t>17.04.103.0</t>
  </si>
  <si>
    <t>17.111.01.1</t>
  </si>
  <si>
    <t>17.01.111.1</t>
  </si>
  <si>
    <t>17.113.04.0</t>
  </si>
  <si>
    <t>17.04.113.0</t>
  </si>
  <si>
    <t>18.000.00.1</t>
  </si>
  <si>
    <t>18.00.000.1</t>
  </si>
  <si>
    <t>18.010.00.0</t>
  </si>
  <si>
    <t>18.00.010.0</t>
  </si>
  <si>
    <t>18.020.00.1</t>
  </si>
  <si>
    <t>18.00.020.1</t>
  </si>
  <si>
    <t>18.031.01.0</t>
  </si>
  <si>
    <t>18.01.031.0</t>
  </si>
  <si>
    <t>18.032.01.1</t>
  </si>
  <si>
    <t>18.01.032.1</t>
  </si>
  <si>
    <t>18.042.01.1</t>
  </si>
  <si>
    <t>18.01.042.1</t>
  </si>
  <si>
    <t>18.043.02.0</t>
  </si>
  <si>
    <t>18.02.043.0</t>
  </si>
  <si>
    <t>18.051.05.1</t>
  </si>
  <si>
    <t>18.05.051.1</t>
  </si>
  <si>
    <t>18.054.04.0</t>
  </si>
  <si>
    <t>18.04.054.0</t>
  </si>
  <si>
    <t>18.055.04.1</t>
  </si>
  <si>
    <t>18.04.055.1</t>
  </si>
  <si>
    <t>18.055.06.0</t>
  </si>
  <si>
    <t>18.06.055.0</t>
  </si>
  <si>
    <t>18.058.09.1</t>
  </si>
  <si>
    <t>18.09.058.1</t>
  </si>
  <si>
    <t>18.061.05.0</t>
  </si>
  <si>
    <t>18.05.061.0</t>
  </si>
  <si>
    <t>18.064.04.1</t>
  </si>
  <si>
    <t>18.04.064.1</t>
  </si>
  <si>
    <t>18.066.08.0</t>
  </si>
  <si>
    <t>18.08.066.0</t>
  </si>
  <si>
    <t>18.067.08.0</t>
  </si>
  <si>
    <t>18.08.067.0</t>
  </si>
  <si>
    <t>18.068.09.1</t>
  </si>
  <si>
    <t>18.09.068.1</t>
  </si>
  <si>
    <t>18.068.10.0</t>
  </si>
  <si>
    <t>18.10.068.0</t>
  </si>
  <si>
    <t>18.071.05.1</t>
  </si>
  <si>
    <t>18.05.071.1</t>
  </si>
  <si>
    <t>18.075.06.0</t>
  </si>
  <si>
    <t>18.06.075.0</t>
  </si>
  <si>
    <t>18.076.08.1</t>
  </si>
  <si>
    <t>18.08.076.1</t>
  </si>
  <si>
    <t>18.077.08.1</t>
  </si>
  <si>
    <t>18.08.077.1</t>
  </si>
  <si>
    <t>18.102.01.0</t>
  </si>
  <si>
    <t>18.01.102.0</t>
  </si>
  <si>
    <t>18.107.08.1</t>
  </si>
  <si>
    <t>18.08.107.1</t>
  </si>
  <si>
    <t>18.108.09.0</t>
  </si>
  <si>
    <t>18.09.108.0</t>
  </si>
  <si>
    <t>18.108.10.1</t>
  </si>
  <si>
    <t>18.10.108.1</t>
  </si>
  <si>
    <t>18.117.08.0</t>
  </si>
  <si>
    <t>18.08.117.0</t>
  </si>
  <si>
    <t>18.118.09.1</t>
  </si>
  <si>
    <t>18.09.118.1</t>
  </si>
  <si>
    <t>18.118.10.0</t>
  </si>
  <si>
    <t>18.10.118.0</t>
  </si>
  <si>
    <t>18.127.08.1</t>
  </si>
  <si>
    <t>18.08.127.1</t>
  </si>
  <si>
    <t>19.000.00.0</t>
  </si>
  <si>
    <t>19.00.000.0</t>
  </si>
  <si>
    <t>19.010.00.1</t>
  </si>
  <si>
    <t>19.00.010.1</t>
  </si>
  <si>
    <t>19.020.00.0</t>
  </si>
  <si>
    <t>19.00.020.0</t>
  </si>
  <si>
    <t>19.033.07.1</t>
  </si>
  <si>
    <t>19.07.033.1</t>
  </si>
  <si>
    <t>19.041.01.0</t>
  </si>
  <si>
    <t>19.01.041.0</t>
  </si>
  <si>
    <t>19.043.07.1</t>
  </si>
  <si>
    <t>19.07.043.1</t>
  </si>
  <si>
    <t>19.052.04.0</t>
  </si>
  <si>
    <t>19.04.052.0</t>
  </si>
  <si>
    <t>19.061.01.1</t>
  </si>
  <si>
    <t>19.01.061.1</t>
  </si>
  <si>
    <t>19.063.07.0</t>
  </si>
  <si>
    <t>19.07.063.0</t>
  </si>
  <si>
    <t>19.071.01.1</t>
  </si>
  <si>
    <t>19.01.071.1</t>
  </si>
  <si>
    <t>19.073.07.0</t>
  </si>
  <si>
    <t>19.07.073.0</t>
  </si>
  <si>
    <t>19.102.04.1</t>
  </si>
  <si>
    <t>19.04.102.1</t>
  </si>
  <si>
    <t>20.000.00.0</t>
  </si>
  <si>
    <t>20.00.000.0</t>
  </si>
  <si>
    <t>20.010.00.1</t>
  </si>
  <si>
    <t>20.00.010.1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</si>
</sst>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_-;\-* #,##0.00\ _€_-;_-* &quot;-&quot;??\ _€_-;_-@_-"/>
    <numFmt numFmtId="165" formatCode="[$-C0A]d\-mmm;@"/>
  </numFmts>
  <fonts count="25" x14ac:knownFonts="1">
    <font>
      <sz val="11"/>
      <color theme="1"/>
      <name val="Calibri"/>
      <family val="2"/>
      <scheme val="minor"/>
    </font>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b/>
      <sz val="14"/>
      <color indexed="81"/>
      <name val="Tahoma"/>
      <family val="2"/>
    </font>
    <font>
      <sz val="14"/>
      <color indexed="81"/>
      <name val="Tahoma"/>
      <family val="2"/>
    </font>
    <font>
      <b/>
      <sz val="14"/>
      <color theme="0"/>
      <name val="Calibri"/>
      <family val="2"/>
      <scheme val="minor"/>
    </font>
    <font>
      <b/>
      <sz val="16"/>
      <color theme="0"/>
      <name val="Calibri"/>
      <family val="2"/>
      <scheme val="minor"/>
    </font>
    <font>
      <b/>
      <sz val="18"/>
      <color theme="0"/>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sz val="14"/>
      <name val="Calibri"/>
      <family val="2"/>
      <scheme val="minor"/>
    </font>
    <font>
      <sz val="14"/>
      <color theme="3"/>
      <name val="Calibri"/>
      <family val="2"/>
      <scheme val="minor"/>
    </font>
    <font>
      <b/>
      <i/>
      <shadow/>
      <sz val="28"/>
      <color rgb="FF000000"/>
      <name val="Arial"/>
      <family val="2"/>
    </font>
    <font>
      <sz val="14"/>
      <color theme="1"/>
      <name val="Calibri"/>
      <family val="2"/>
      <scheme val="minor"/>
    </font>
    <font>
      <sz val="10"/>
      <color theme="1"/>
      <name val="Arial"/>
      <family val="2"/>
    </font>
    <font>
      <b/>
      <sz val="26"/>
      <color theme="1"/>
      <name val="Calibri"/>
      <family val="2"/>
      <scheme val="minor"/>
    </font>
    <font>
      <b/>
      <sz val="14"/>
      <color theme="1"/>
      <name val="Calibri"/>
      <family val="2"/>
      <scheme val="minor"/>
    </font>
    <font>
      <b/>
      <sz val="14"/>
      <name val="Calibri"/>
      <family val="2"/>
      <scheme val="minor"/>
    </font>
    <font>
      <b/>
      <sz val="13"/>
      <color theme="0"/>
      <name val="Calibri"/>
      <family val="2"/>
      <scheme val="minor"/>
    </font>
    <font>
      <sz val="13"/>
      <color theme="1"/>
      <name val="Calibri"/>
      <family val="2"/>
      <scheme val="minor"/>
    </font>
    <font>
      <b/>
      <sz val="28"/>
      <color theme="0"/>
      <name val="Calibri"/>
      <family val="2"/>
      <scheme val="minor"/>
    </font>
    <font>
      <sz val="11"/>
      <color rgb="FF000000"/>
      <name val="Calibri"/>
      <family val="2"/>
    </font>
  </fonts>
  <fills count="29">
    <fill>
      <patternFill patternType="none"/>
    </fill>
    <fill>
      <patternFill patternType="gray125"/>
    </fill>
    <fill>
      <patternFill patternType="solid">
        <fgColor theme="4" tint="0.59999389629810485"/>
        <bgColor indexed="64"/>
      </patternFill>
    </fill>
    <fill>
      <patternFill patternType="solid">
        <fgColor rgb="FF002060"/>
        <bgColor indexed="64"/>
      </patternFill>
    </fill>
    <fill>
      <patternFill patternType="solid">
        <fgColor rgb="FF0070C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00B050"/>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9" tint="0.79998168889431442"/>
        <bgColor indexed="64"/>
      </patternFill>
    </fill>
    <fill>
      <patternFill patternType="solid">
        <fgColor rgb="FFC00000"/>
        <bgColor indexed="64"/>
      </patternFill>
    </fill>
    <fill>
      <patternFill patternType="solid">
        <fgColor theme="7" tint="0.39997558519241921"/>
        <bgColor indexed="64"/>
      </patternFill>
    </fill>
    <fill>
      <patternFill patternType="solid">
        <fgColor rgb="FF7030A0"/>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rgb="FFFF481D"/>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bgColor indexed="64"/>
      </patternFill>
    </fill>
    <fill>
      <patternFill patternType="solid">
        <fgColor theme="6" tint="0.79998168889431442"/>
        <bgColor indexed="64"/>
      </patternFill>
    </fill>
    <fill>
      <patternFill patternType="solid">
        <fgColor rgb="FFF79646"/>
        <bgColor indexed="64"/>
      </patternFill>
    </fill>
    <fill>
      <patternFill patternType="solid">
        <fgColor theme="0" tint="-0.499984740745262"/>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diagonal/>
    </border>
    <border>
      <left style="medium">
        <color auto="1"/>
      </left>
      <right/>
      <top style="medium">
        <color auto="1"/>
      </top>
      <bottom style="medium">
        <color auto="1"/>
      </bottom>
      <diagonal/>
    </border>
    <border>
      <left style="medium">
        <color auto="1"/>
      </left>
      <right/>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right/>
      <top style="thin">
        <color theme="3"/>
      </top>
      <bottom/>
      <diagonal/>
    </border>
    <border>
      <left/>
      <right/>
      <top/>
      <bottom style="thin">
        <color theme="3"/>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11">
    <xf numFmtId="165" fontId="0" fillId="0" borderId="0"/>
    <xf numFmtId="165" fontId="2" fillId="0" borderId="0"/>
    <xf numFmtId="165" fontId="1" fillId="0" borderId="0"/>
    <xf numFmtId="165" fontId="1" fillId="0" borderId="0"/>
    <xf numFmtId="165" fontId="1" fillId="0" borderId="0"/>
    <xf numFmtId="165" fontId="1" fillId="0" borderId="0"/>
    <xf numFmtId="164" fontId="1" fillId="0" borderId="0" applyFont="0" applyFill="0" applyBorder="0" applyAlignment="0" applyProtection="0"/>
    <xf numFmtId="0" fontId="2" fillId="0" borderId="0"/>
    <xf numFmtId="0" fontId="1" fillId="0" borderId="0"/>
    <xf numFmtId="0" fontId="17" fillId="0" borderId="0"/>
    <xf numFmtId="0" fontId="24" fillId="0" borderId="0"/>
  </cellStyleXfs>
  <cellXfs count="140">
    <xf numFmtId="165" fontId="0" fillId="0" borderId="0" xfId="0"/>
    <xf numFmtId="0" fontId="9" fillId="12" borderId="8" xfId="0" applyNumberFormat="1" applyFont="1" applyFill="1" applyBorder="1" applyAlignment="1">
      <alignment vertical="center" wrapText="1"/>
    </xf>
    <xf numFmtId="0" fontId="9" fillId="12" borderId="11" xfId="0" applyNumberFormat="1" applyFont="1" applyFill="1" applyBorder="1" applyAlignment="1">
      <alignment vertical="center" wrapText="1"/>
    </xf>
    <xf numFmtId="0" fontId="9" fillId="12" borderId="1" xfId="0" applyNumberFormat="1" applyFont="1" applyFill="1" applyBorder="1" applyAlignment="1">
      <alignment vertical="center" wrapText="1"/>
    </xf>
    <xf numFmtId="0" fontId="10" fillId="0" borderId="0" xfId="0" applyNumberFormat="1" applyFont="1" applyAlignment="1">
      <alignment horizontal="center" vertical="center" wrapText="1"/>
    </xf>
    <xf numFmtId="0" fontId="11" fillId="2" borderId="1" xfId="0" applyNumberFormat="1" applyFont="1" applyFill="1" applyBorder="1" applyAlignment="1" applyProtection="1">
      <alignment horizontal="center" vertical="center" wrapText="1"/>
      <protection locked="0"/>
    </xf>
    <xf numFmtId="0" fontId="11" fillId="2" borderId="1" xfId="0" applyNumberFormat="1" applyFont="1" applyFill="1" applyBorder="1" applyAlignment="1">
      <alignment horizontal="center" vertical="center" wrapText="1"/>
    </xf>
    <xf numFmtId="0" fontId="11" fillId="2" borderId="1" xfId="0" applyNumberFormat="1" applyFont="1" applyFill="1" applyBorder="1" applyAlignment="1" applyProtection="1">
      <alignment horizontal="left" vertical="center" wrapText="1"/>
      <protection locked="0"/>
    </xf>
    <xf numFmtId="0" fontId="11" fillId="13" borderId="1" xfId="0" applyNumberFormat="1" applyFont="1" applyFill="1" applyBorder="1" applyAlignment="1" applyProtection="1">
      <alignment horizontal="center" vertical="center" wrapText="1"/>
      <protection locked="0"/>
    </xf>
    <xf numFmtId="0" fontId="11" fillId="18" borderId="1" xfId="0" quotePrefix="1" applyNumberFormat="1" applyFont="1" applyFill="1" applyBorder="1" applyAlignment="1" applyProtection="1">
      <alignment horizontal="center" vertical="center" wrapText="1"/>
      <protection locked="0"/>
    </xf>
    <xf numFmtId="0" fontId="11" fillId="18" borderId="1" xfId="0" applyNumberFormat="1" applyFont="1" applyFill="1" applyBorder="1" applyAlignment="1" applyProtection="1">
      <alignment horizontal="center" vertical="center" wrapText="1"/>
      <protection locked="0"/>
    </xf>
    <xf numFmtId="0" fontId="12" fillId="22" borderId="1" xfId="0" applyNumberFormat="1" applyFont="1" applyFill="1" applyBorder="1" applyAlignment="1">
      <alignment horizontal="center" vertical="center" wrapText="1"/>
    </xf>
    <xf numFmtId="0" fontId="10" fillId="0" borderId="1" xfId="0" applyNumberFormat="1" applyFont="1" applyBorder="1" applyAlignment="1">
      <alignment horizontal="center" vertical="center" wrapText="1"/>
    </xf>
    <xf numFmtId="0" fontId="10" fillId="0" borderId="1" xfId="0" applyNumberFormat="1" applyFont="1" applyBorder="1" applyAlignment="1" applyProtection="1">
      <alignment horizontal="left" vertical="center" wrapText="1"/>
      <protection locked="0"/>
    </xf>
    <xf numFmtId="0" fontId="10" fillId="0" borderId="1" xfId="0" applyNumberFormat="1" applyFont="1" applyBorder="1" applyAlignment="1" applyProtection="1">
      <alignment horizontal="center" vertical="center" wrapText="1"/>
      <protection locked="0"/>
    </xf>
    <xf numFmtId="0" fontId="10" fillId="0" borderId="1" xfId="0" applyNumberFormat="1" applyFont="1" applyBorder="1" applyAlignment="1">
      <alignment horizontal="left" vertical="center" wrapText="1"/>
    </xf>
    <xf numFmtId="0" fontId="10" fillId="20" borderId="1" xfId="0" applyNumberFormat="1" applyFont="1" applyFill="1" applyBorder="1" applyAlignment="1" applyProtection="1">
      <alignment horizontal="center" vertical="center" wrapText="1"/>
      <protection locked="0"/>
    </xf>
    <xf numFmtId="0" fontId="10" fillId="0" borderId="0" xfId="0" applyNumberFormat="1" applyFont="1" applyAlignment="1" applyProtection="1">
      <alignment horizontal="left" vertical="center" wrapText="1"/>
      <protection locked="0"/>
    </xf>
    <xf numFmtId="0" fontId="11" fillId="0" borderId="0" xfId="0" applyNumberFormat="1" applyFont="1" applyAlignment="1" applyProtection="1">
      <alignment horizontal="center" vertical="center" wrapText="1"/>
      <protection locked="0"/>
    </xf>
    <xf numFmtId="0" fontId="10" fillId="0" borderId="0" xfId="0" applyNumberFormat="1" applyFont="1" applyAlignment="1" applyProtection="1">
      <alignment horizontal="center" vertical="center" wrapText="1"/>
      <protection locked="0"/>
    </xf>
    <xf numFmtId="0" fontId="0" fillId="0" borderId="0" xfId="0" applyNumberFormat="1"/>
    <xf numFmtId="0" fontId="3" fillId="4" borderId="1" xfId="4" applyNumberFormat="1" applyFont="1" applyFill="1" applyBorder="1" applyAlignment="1">
      <alignment vertical="center"/>
    </xf>
    <xf numFmtId="0" fontId="3" fillId="4" borderId="1" xfId="4" applyNumberFormat="1" applyFont="1" applyFill="1" applyBorder="1" applyAlignment="1">
      <alignment horizontal="center" vertical="center"/>
    </xf>
    <xf numFmtId="0" fontId="1" fillId="0" borderId="1" xfId="4" applyNumberFormat="1" applyBorder="1" applyAlignment="1">
      <alignment horizontal="center" vertical="center"/>
    </xf>
    <xf numFmtId="0" fontId="3" fillId="4" borderId="1" xfId="0" applyNumberFormat="1" applyFont="1" applyFill="1" applyBorder="1" applyAlignment="1">
      <alignment horizontal="center"/>
    </xf>
    <xf numFmtId="0" fontId="3" fillId="4" borderId="3" xfId="0" applyNumberFormat="1" applyFont="1" applyFill="1" applyBorder="1" applyAlignment="1">
      <alignment horizontal="center"/>
    </xf>
    <xf numFmtId="0" fontId="4" fillId="0" borderId="2" xfId="0" applyNumberFormat="1" applyFont="1" applyBorder="1" applyAlignment="1">
      <alignment horizontal="center" vertical="center"/>
    </xf>
    <xf numFmtId="0" fontId="4" fillId="0" borderId="6" xfId="0" applyNumberFormat="1" applyFont="1" applyBorder="1" applyAlignment="1">
      <alignment horizontal="center" vertical="center"/>
    </xf>
    <xf numFmtId="0" fontId="0" fillId="0" borderId="0" xfId="0" applyNumberFormat="1" applyAlignment="1">
      <alignment vertical="center"/>
    </xf>
    <xf numFmtId="0" fontId="4" fillId="5" borderId="0" xfId="0" applyNumberFormat="1" applyFont="1" applyFill="1" applyAlignment="1">
      <alignment horizontal="right"/>
    </xf>
    <xf numFmtId="0" fontId="0" fillId="0" borderId="1" xfId="0" applyNumberFormat="1" applyBorder="1"/>
    <xf numFmtId="0" fontId="13" fillId="25" borderId="0" xfId="7" applyFont="1" applyFill="1"/>
    <xf numFmtId="0" fontId="14" fillId="25" borderId="20" xfId="7" applyFont="1" applyFill="1" applyBorder="1"/>
    <xf numFmtId="0" fontId="14" fillId="25" borderId="21" xfId="7" applyFont="1" applyFill="1" applyBorder="1"/>
    <xf numFmtId="0" fontId="14" fillId="25" borderId="22" xfId="7" applyFont="1" applyFill="1" applyBorder="1"/>
    <xf numFmtId="0" fontId="13" fillId="25" borderId="23" xfId="7" applyFont="1" applyFill="1" applyBorder="1"/>
    <xf numFmtId="0" fontId="13" fillId="25" borderId="24" xfId="7" applyFont="1" applyFill="1" applyBorder="1"/>
    <xf numFmtId="0" fontId="13" fillId="25" borderId="23" xfId="7" applyFont="1" applyFill="1" applyBorder="1" applyAlignment="1">
      <alignment vertical="center"/>
    </xf>
    <xf numFmtId="0" fontId="13" fillId="25" borderId="24" xfId="7" applyFont="1" applyFill="1" applyBorder="1" applyAlignment="1">
      <alignment vertical="center"/>
    </xf>
    <xf numFmtId="0" fontId="13" fillId="25" borderId="0" xfId="7" applyFont="1" applyFill="1" applyAlignment="1">
      <alignment vertical="center"/>
    </xf>
    <xf numFmtId="0" fontId="16" fillId="25" borderId="0" xfId="7" applyFont="1" applyFill="1" applyAlignment="1">
      <alignment horizontal="center"/>
    </xf>
    <xf numFmtId="0" fontId="16" fillId="25" borderId="24" xfId="9" applyFont="1" applyFill="1" applyBorder="1" applyAlignment="1">
      <alignment vertical="center" wrapText="1"/>
    </xf>
    <xf numFmtId="0" fontId="19" fillId="25" borderId="0" xfId="7" applyFont="1" applyFill="1" applyAlignment="1">
      <alignment horizontal="right"/>
    </xf>
    <xf numFmtId="0" fontId="16" fillId="25" borderId="11" xfId="7" applyFont="1" applyFill="1" applyBorder="1" applyAlignment="1" applyProtection="1">
      <alignment horizontal="left"/>
      <protection locked="0"/>
    </xf>
    <xf numFmtId="0" fontId="13" fillId="25" borderId="11" xfId="7" applyFont="1" applyFill="1" applyBorder="1"/>
    <xf numFmtId="0" fontId="19" fillId="25" borderId="11" xfId="7" applyFont="1" applyFill="1" applyBorder="1" applyAlignment="1">
      <alignment horizontal="right"/>
    </xf>
    <xf numFmtId="0" fontId="16" fillId="25" borderId="0" xfId="7" applyFont="1" applyFill="1" applyAlignment="1" applyProtection="1">
      <alignment vertical="center" wrapText="1"/>
      <protection locked="0"/>
    </xf>
    <xf numFmtId="0" fontId="20" fillId="25" borderId="0" xfId="7" applyFont="1" applyFill="1" applyAlignment="1">
      <alignment horizontal="right"/>
    </xf>
    <xf numFmtId="14" fontId="16" fillId="25" borderId="11" xfId="7" applyNumberFormat="1" applyFont="1" applyFill="1" applyBorder="1" applyAlignment="1" applyProtection="1">
      <alignment horizontal="left"/>
      <protection locked="0"/>
    </xf>
    <xf numFmtId="0" fontId="16" fillId="25" borderId="0" xfId="7" applyFont="1" applyFill="1" applyAlignment="1" applyProtection="1">
      <alignment horizontal="left"/>
      <protection locked="0"/>
    </xf>
    <xf numFmtId="0" fontId="13" fillId="25" borderId="27" xfId="7" applyFont="1" applyFill="1" applyBorder="1"/>
    <xf numFmtId="0" fontId="13" fillId="25" borderId="28" xfId="7" applyFont="1" applyFill="1" applyBorder="1"/>
    <xf numFmtId="0" fontId="13" fillId="25" borderId="29" xfId="7" applyFont="1" applyFill="1" applyBorder="1"/>
    <xf numFmtId="0" fontId="12" fillId="23" borderId="1" xfId="0" applyNumberFormat="1" applyFont="1" applyFill="1" applyBorder="1" applyAlignment="1">
      <alignment horizontal="center" vertical="center" wrapText="1"/>
    </xf>
    <xf numFmtId="0" fontId="10" fillId="26" borderId="1" xfId="0" applyNumberFormat="1" applyFont="1" applyFill="1" applyBorder="1" applyAlignment="1" applyProtection="1">
      <alignment horizontal="center" vertical="center" wrapText="1"/>
      <protection locked="0"/>
    </xf>
    <xf numFmtId="0" fontId="12" fillId="18" borderId="1" xfId="0" applyNumberFormat="1" applyFont="1" applyFill="1" applyBorder="1" applyAlignment="1">
      <alignment horizontal="center" vertical="center" wrapText="1"/>
    </xf>
    <xf numFmtId="165" fontId="4" fillId="27" borderId="1" xfId="0" applyFont="1" applyFill="1" applyBorder="1" applyAlignment="1">
      <alignment horizontal="center" vertical="center" wrapText="1"/>
    </xf>
    <xf numFmtId="0" fontId="4" fillId="11" borderId="1" xfId="0" applyNumberFormat="1" applyFont="1" applyFill="1" applyBorder="1" applyAlignment="1">
      <alignment horizontal="center" vertical="center" wrapText="1"/>
    </xf>
    <xf numFmtId="0" fontId="3" fillId="3" borderId="1" xfId="4" applyNumberFormat="1" applyFont="1" applyFill="1" applyBorder="1" applyAlignment="1">
      <alignment vertical="center"/>
    </xf>
    <xf numFmtId="165" fontId="0" fillId="0" borderId="1" xfId="0" applyBorder="1" applyAlignment="1">
      <alignment horizontal="left" vertical="center"/>
    </xf>
    <xf numFmtId="0" fontId="3" fillId="4" borderId="1" xfId="4" applyNumberFormat="1" applyFont="1" applyFill="1" applyBorder="1" applyAlignment="1">
      <alignment horizontal="center" vertical="center"/>
    </xf>
    <xf numFmtId="165" fontId="0" fillId="24" borderId="30" xfId="0" applyFill="1" applyBorder="1"/>
    <xf numFmtId="165" fontId="0" fillId="24" borderId="0" xfId="0" applyFill="1"/>
    <xf numFmtId="165" fontId="0" fillId="24" borderId="31" xfId="0" applyFill="1" applyBorder="1"/>
    <xf numFmtId="165" fontId="0" fillId="24" borderId="32" xfId="0" applyFill="1" applyBorder="1"/>
    <xf numFmtId="165" fontId="0" fillId="0" borderId="0" xfId="0" applyAlignment="1">
      <alignment horizontal="center" vertical="center"/>
    </xf>
    <xf numFmtId="165" fontId="3" fillId="0" borderId="0" xfId="4" applyFont="1" applyAlignment="1">
      <alignment horizontal="center" vertical="center"/>
    </xf>
    <xf numFmtId="165" fontId="1" fillId="0" borderId="0" xfId="4" applyAlignment="1">
      <alignment horizontal="center" vertical="center"/>
    </xf>
    <xf numFmtId="165" fontId="1" fillId="0" borderId="1" xfId="4" applyBorder="1" applyAlignment="1">
      <alignment horizontal="center" vertical="center"/>
    </xf>
    <xf numFmtId="165" fontId="4" fillId="0" borderId="1" xfId="0" applyFont="1" applyBorder="1" applyAlignment="1">
      <alignment horizontal="center"/>
    </xf>
    <xf numFmtId="165" fontId="0" fillId="0" borderId="1" xfId="0" applyBorder="1" applyAlignment="1">
      <alignment horizontal="left"/>
    </xf>
    <xf numFmtId="165" fontId="0" fillId="8" borderId="1" xfId="0" applyFill="1" applyBorder="1" applyAlignment="1">
      <alignment horizontal="center"/>
    </xf>
    <xf numFmtId="165" fontId="0" fillId="13" borderId="1" xfId="0" applyFill="1" applyBorder="1" applyAlignment="1">
      <alignment horizontal="center"/>
    </xf>
    <xf numFmtId="165" fontId="0" fillId="15" borderId="1" xfId="0" applyFill="1" applyBorder="1" applyAlignment="1">
      <alignment horizontal="center"/>
    </xf>
    <xf numFmtId="165" fontId="4" fillId="0" borderId="1" xfId="0" applyFont="1" applyBorder="1" applyAlignment="1">
      <alignment horizontal="center" vertical="center"/>
    </xf>
    <xf numFmtId="165" fontId="0" fillId="8" borderId="1" xfId="0" applyFill="1" applyBorder="1" applyAlignment="1">
      <alignment vertical="center"/>
    </xf>
    <xf numFmtId="165" fontId="0" fillId="13" borderId="1" xfId="0" applyFill="1" applyBorder="1" applyAlignment="1">
      <alignment vertical="center"/>
    </xf>
    <xf numFmtId="165" fontId="0" fillId="15" borderId="1" xfId="0" applyFill="1" applyBorder="1" applyAlignment="1">
      <alignment vertical="center"/>
    </xf>
    <xf numFmtId="0" fontId="3" fillId="4" borderId="1" xfId="4" applyNumberFormat="1" applyFont="1" applyFill="1" applyBorder="1" applyAlignment="1">
      <alignment horizontal="center" vertical="center"/>
    </xf>
    <xf numFmtId="0" fontId="11" fillId="5" borderId="12" xfId="0" applyNumberFormat="1" applyFont="1" applyFill="1" applyBorder="1" applyAlignment="1">
      <alignment vertical="center"/>
    </xf>
    <xf numFmtId="0" fontId="11" fillId="5" borderId="11" xfId="0" applyNumberFormat="1" applyFont="1" applyFill="1" applyBorder="1" applyAlignment="1">
      <alignment vertical="center"/>
    </xf>
    <xf numFmtId="0" fontId="9" fillId="3" borderId="12" xfId="0" applyNumberFormat="1" applyFont="1" applyFill="1" applyBorder="1" applyAlignment="1">
      <alignment vertical="center"/>
    </xf>
    <xf numFmtId="0" fontId="9" fillId="3" borderId="11" xfId="0" applyNumberFormat="1" applyFont="1" applyFill="1" applyBorder="1" applyAlignment="1">
      <alignment vertical="center"/>
    </xf>
    <xf numFmtId="0" fontId="3" fillId="4" borderId="1" xfId="4" applyNumberFormat="1" applyFont="1" applyFill="1" applyBorder="1" applyAlignment="1">
      <alignment horizontal="center" vertical="center"/>
    </xf>
    <xf numFmtId="165" fontId="3" fillId="21" borderId="1" xfId="0" applyFont="1" applyFill="1" applyBorder="1" applyAlignment="1">
      <alignment horizontal="center" vertical="center" wrapText="1"/>
    </xf>
    <xf numFmtId="165" fontId="3" fillId="14" borderId="1" xfId="0" applyFont="1" applyFill="1" applyBorder="1" applyAlignment="1">
      <alignment horizontal="center" vertical="center" wrapText="1"/>
    </xf>
    <xf numFmtId="0" fontId="4" fillId="11" borderId="1" xfId="4" applyNumberFormat="1" applyFont="1" applyFill="1" applyBorder="1" applyAlignment="1">
      <alignment horizontal="center" vertical="center"/>
    </xf>
    <xf numFmtId="0" fontId="1" fillId="16" borderId="1" xfId="4" applyNumberFormat="1" applyFill="1" applyBorder="1" applyAlignment="1">
      <alignment horizontal="center" vertical="center"/>
    </xf>
    <xf numFmtId="165" fontId="7" fillId="3" borderId="1" xfId="0" applyFont="1" applyFill="1" applyBorder="1" applyAlignment="1">
      <alignment vertical="center"/>
    </xf>
    <xf numFmtId="165" fontId="3" fillId="4" borderId="1" xfId="4" applyFont="1" applyFill="1" applyBorder="1" applyAlignment="1">
      <alignment horizontal="center" vertical="center"/>
    </xf>
    <xf numFmtId="165" fontId="21" fillId="3" borderId="1" xfId="0" applyFont="1" applyFill="1" applyBorder="1" applyAlignment="1">
      <alignment vertical="center"/>
    </xf>
    <xf numFmtId="165" fontId="22" fillId="0" borderId="0" xfId="0" applyFont="1"/>
    <xf numFmtId="0" fontId="22" fillId="0" borderId="0" xfId="0" applyNumberFormat="1" applyFont="1"/>
    <xf numFmtId="0" fontId="23" fillId="12" borderId="11" xfId="0" quotePrefix="1" applyNumberFormat="1" applyFont="1" applyFill="1" applyBorder="1" applyAlignment="1">
      <alignment horizontal="center" vertical="center" wrapText="1"/>
    </xf>
    <xf numFmtId="0" fontId="15" fillId="0" borderId="0" xfId="8" applyFont="1" applyAlignment="1">
      <alignment horizontal="center" vertical="center" wrapText="1" readingOrder="1"/>
    </xf>
    <xf numFmtId="0" fontId="18" fillId="25" borderId="25" xfId="9" applyFont="1" applyFill="1" applyBorder="1" applyAlignment="1">
      <alignment horizontal="center" vertical="center" wrapText="1"/>
    </xf>
    <xf numFmtId="0" fontId="18" fillId="25" borderId="26" xfId="9" applyFont="1" applyFill="1" applyBorder="1" applyAlignment="1">
      <alignment horizontal="center" vertical="center" wrapText="1"/>
    </xf>
    <xf numFmtId="0" fontId="9" fillId="17" borderId="1" xfId="0" applyNumberFormat="1" applyFont="1" applyFill="1" applyBorder="1" applyAlignment="1">
      <alignment horizontal="center" vertical="center" wrapText="1"/>
    </xf>
    <xf numFmtId="0" fontId="9" fillId="12" borderId="1" xfId="0" applyNumberFormat="1" applyFont="1" applyFill="1" applyBorder="1" applyAlignment="1">
      <alignment horizontal="center" vertical="center" wrapText="1"/>
    </xf>
    <xf numFmtId="0" fontId="9" fillId="12" borderId="1" xfId="0" applyNumberFormat="1" applyFont="1" applyFill="1" applyBorder="1" applyAlignment="1">
      <alignment horizontal="left" vertical="center" wrapText="1"/>
    </xf>
    <xf numFmtId="0" fontId="8" fillId="8" borderId="17" xfId="0" applyNumberFormat="1" applyFont="1" applyFill="1" applyBorder="1" applyAlignment="1">
      <alignment horizontal="center" vertical="center" wrapText="1"/>
    </xf>
    <xf numFmtId="0" fontId="8" fillId="8" borderId="18" xfId="0" applyNumberFormat="1" applyFont="1" applyFill="1" applyBorder="1" applyAlignment="1">
      <alignment horizontal="center" vertical="center" wrapText="1"/>
    </xf>
    <xf numFmtId="0" fontId="8" fillId="8" borderId="19" xfId="0" applyNumberFormat="1" applyFont="1" applyFill="1" applyBorder="1" applyAlignment="1">
      <alignment horizontal="center" vertical="center" wrapText="1"/>
    </xf>
    <xf numFmtId="0" fontId="9" fillId="19" borderId="17" xfId="0" applyNumberFormat="1" applyFont="1" applyFill="1" applyBorder="1" applyAlignment="1">
      <alignment horizontal="center" vertical="center" wrapText="1"/>
    </xf>
    <xf numFmtId="0" fontId="9" fillId="19" borderId="18" xfId="0" applyNumberFormat="1" applyFont="1" applyFill="1" applyBorder="1" applyAlignment="1">
      <alignment horizontal="center" vertical="center" wrapText="1"/>
    </xf>
    <xf numFmtId="0" fontId="9" fillId="19" borderId="19" xfId="0" applyNumberFormat="1" applyFont="1" applyFill="1" applyBorder="1" applyAlignment="1">
      <alignment horizontal="center" vertical="center" wrapText="1"/>
    </xf>
    <xf numFmtId="165" fontId="21" fillId="12" borderId="1" xfId="0" applyFont="1" applyFill="1" applyBorder="1" applyAlignment="1">
      <alignment horizontal="center" vertical="center" wrapText="1"/>
    </xf>
    <xf numFmtId="165" fontId="0" fillId="7" borderId="17" xfId="4" applyFont="1" applyFill="1" applyBorder="1" applyAlignment="1">
      <alignment horizontal="left"/>
    </xf>
    <xf numFmtId="165" fontId="0" fillId="7" borderId="19" xfId="4" applyFont="1" applyFill="1" applyBorder="1" applyAlignment="1">
      <alignment horizontal="left"/>
    </xf>
    <xf numFmtId="165" fontId="21" fillId="3" borderId="1" xfId="0" applyFont="1" applyFill="1" applyBorder="1" applyAlignment="1">
      <alignment horizontal="center" vertical="center" wrapText="1"/>
    </xf>
    <xf numFmtId="165" fontId="3" fillId="4" borderId="1" xfId="4" applyFont="1" applyFill="1" applyBorder="1" applyAlignment="1">
      <alignment horizontal="left" vertical="center"/>
    </xf>
    <xf numFmtId="0" fontId="9" fillId="3" borderId="12" xfId="0" applyNumberFormat="1" applyFont="1" applyFill="1" applyBorder="1" applyAlignment="1">
      <alignment horizontal="center" vertical="center"/>
    </xf>
    <xf numFmtId="0" fontId="9" fillId="3" borderId="13" xfId="0" applyNumberFormat="1" applyFont="1" applyFill="1" applyBorder="1" applyAlignment="1">
      <alignment horizontal="center" vertical="center"/>
    </xf>
    <xf numFmtId="0" fontId="9" fillId="3" borderId="11" xfId="0" applyNumberFormat="1" applyFont="1" applyFill="1" applyBorder="1" applyAlignment="1">
      <alignment horizontal="center" vertical="center"/>
    </xf>
    <xf numFmtId="0" fontId="9" fillId="3" borderId="14" xfId="0" applyNumberFormat="1" applyFont="1" applyFill="1" applyBorder="1" applyAlignment="1">
      <alignment horizontal="center" vertical="center"/>
    </xf>
    <xf numFmtId="0" fontId="11" fillId="5" borderId="16" xfId="0" applyNumberFormat="1" applyFont="1" applyFill="1" applyBorder="1" applyAlignment="1">
      <alignment horizontal="center" vertical="center"/>
    </xf>
    <xf numFmtId="0" fontId="11" fillId="5" borderId="12" xfId="0" applyNumberFormat="1" applyFont="1" applyFill="1" applyBorder="1" applyAlignment="1">
      <alignment horizontal="center" vertical="center"/>
    </xf>
    <xf numFmtId="0" fontId="11" fillId="5" borderId="13" xfId="0" applyNumberFormat="1" applyFont="1" applyFill="1" applyBorder="1" applyAlignment="1">
      <alignment horizontal="center" vertical="center"/>
    </xf>
    <xf numFmtId="0" fontId="11" fillId="5" borderId="15" xfId="0" applyNumberFormat="1" applyFont="1" applyFill="1" applyBorder="1" applyAlignment="1">
      <alignment horizontal="center" vertical="center"/>
    </xf>
    <xf numFmtId="0" fontId="11" fillId="5" borderId="11" xfId="0" applyNumberFormat="1" applyFont="1" applyFill="1" applyBorder="1" applyAlignment="1">
      <alignment horizontal="center" vertical="center"/>
    </xf>
    <xf numFmtId="0" fontId="11" fillId="5" borderId="14" xfId="0" applyNumberFormat="1" applyFont="1" applyFill="1" applyBorder="1" applyAlignment="1">
      <alignment horizontal="center" vertical="center"/>
    </xf>
    <xf numFmtId="165" fontId="3" fillId="3" borderId="1" xfId="0" applyFont="1" applyFill="1" applyBorder="1" applyAlignment="1">
      <alignment horizontal="center" vertical="center"/>
    </xf>
    <xf numFmtId="0" fontId="21" fillId="8" borderId="1" xfId="0" applyNumberFormat="1" applyFont="1" applyFill="1" applyBorder="1" applyAlignment="1">
      <alignment horizontal="center" vertical="center" wrapText="1"/>
    </xf>
    <xf numFmtId="0" fontId="21" fillId="15" borderId="1" xfId="0" applyNumberFormat="1" applyFont="1" applyFill="1" applyBorder="1" applyAlignment="1">
      <alignment horizontal="center" vertical="center" wrapText="1"/>
    </xf>
    <xf numFmtId="165" fontId="3" fillId="3" borderId="1" xfId="0" applyFont="1" applyFill="1" applyBorder="1" applyAlignment="1">
      <alignment horizontal="center"/>
    </xf>
    <xf numFmtId="165" fontId="8" fillId="12" borderId="7" xfId="0" applyFont="1" applyFill="1" applyBorder="1" applyAlignment="1">
      <alignment horizontal="center" vertical="center"/>
    </xf>
    <xf numFmtId="165" fontId="8" fillId="12" borderId="9" xfId="0" applyFont="1" applyFill="1" applyBorder="1" applyAlignment="1">
      <alignment horizontal="center" vertical="center"/>
    </xf>
    <xf numFmtId="165" fontId="8" fillId="12" borderId="10" xfId="0" applyFont="1" applyFill="1" applyBorder="1" applyAlignment="1">
      <alignment horizontal="center" vertical="center"/>
    </xf>
    <xf numFmtId="165" fontId="3" fillId="24" borderId="0" xfId="0" applyFont="1" applyFill="1" applyAlignment="1">
      <alignment horizontal="right"/>
    </xf>
    <xf numFmtId="165" fontId="3" fillId="24" borderId="32" xfId="0" applyFont="1" applyFill="1" applyBorder="1" applyAlignment="1">
      <alignment horizontal="right"/>
    </xf>
    <xf numFmtId="0" fontId="4" fillId="0" borderId="4" xfId="0" applyNumberFormat="1" applyFont="1" applyBorder="1" applyAlignment="1">
      <alignment horizontal="center"/>
    </xf>
    <xf numFmtId="0" fontId="4" fillId="0" borderId="5" xfId="0" applyNumberFormat="1" applyFont="1" applyBorder="1" applyAlignment="1">
      <alignment horizontal="center"/>
    </xf>
    <xf numFmtId="0" fontId="3" fillId="3" borderId="1" xfId="4" applyNumberFormat="1" applyFont="1" applyFill="1" applyBorder="1" applyAlignment="1">
      <alignment horizontal="center" vertical="center"/>
    </xf>
    <xf numFmtId="0" fontId="3" fillId="28" borderId="1" xfId="0" applyNumberFormat="1" applyFont="1" applyFill="1" applyBorder="1" applyAlignment="1">
      <alignment horizontal="center" vertical="center"/>
    </xf>
    <xf numFmtId="0" fontId="3" fillId="12" borderId="1" xfId="0" applyNumberFormat="1" applyFont="1" applyFill="1" applyBorder="1" applyAlignment="1">
      <alignment horizontal="center" vertical="center"/>
    </xf>
    <xf numFmtId="0" fontId="7" fillId="4" borderId="1" xfId="4" applyNumberFormat="1" applyFont="1" applyFill="1" applyBorder="1" applyAlignment="1">
      <alignment horizontal="center" vertical="center"/>
    </xf>
    <xf numFmtId="0" fontId="4" fillId="7" borderId="1" xfId="0" applyNumberFormat="1" applyFont="1" applyFill="1" applyBorder="1" applyAlignment="1">
      <alignment horizontal="center" vertical="center"/>
    </xf>
    <xf numFmtId="0" fontId="4" fillId="9" borderId="1" xfId="0" applyNumberFormat="1" applyFont="1" applyFill="1" applyBorder="1" applyAlignment="1">
      <alignment horizontal="center" vertical="center"/>
    </xf>
    <xf numFmtId="0" fontId="4" fillId="6" borderId="1" xfId="0" applyNumberFormat="1" applyFont="1" applyFill="1" applyBorder="1" applyAlignment="1">
      <alignment horizontal="center" vertical="center"/>
    </xf>
    <xf numFmtId="0" fontId="3" fillId="10" borderId="1" xfId="0" applyNumberFormat="1" applyFont="1" applyFill="1" applyBorder="1" applyAlignment="1">
      <alignment horizontal="center" vertical="center"/>
    </xf>
  </cellXfs>
  <cellStyles count="11">
    <cellStyle name="Millares 2" xfId="6" xr:uid="{00000000-0005-0000-0000-000002000000}"/>
    <cellStyle name="Normal" xfId="0" builtinId="0"/>
    <cellStyle name="Normal 2" xfId="1" xr:uid="{00000000-0005-0000-0000-000004000000}"/>
    <cellStyle name="Normal 2 2" xfId="9" xr:uid="{FCAF77D0-FFAE-4147-B8EC-9E0A904CFB85}"/>
    <cellStyle name="Normal 3" xfId="2" xr:uid="{00000000-0005-0000-0000-000005000000}"/>
    <cellStyle name="Normal 4" xfId="3" xr:uid="{00000000-0005-0000-0000-000006000000}"/>
    <cellStyle name="Normal 4 2" xfId="5" xr:uid="{00000000-0005-0000-0000-000007000000}"/>
    <cellStyle name="Normal 4 3" xfId="7" xr:uid="{EED994C3-B23F-4FE1-A0FF-EC6E0F658215}"/>
    <cellStyle name="Normal 5" xfId="4" xr:uid="{00000000-0005-0000-0000-000008000000}"/>
    <cellStyle name="Normal 6" xfId="8" xr:uid="{BAB92396-1F76-495A-8338-700A34FC3E63}"/>
    <cellStyle name="Normal 7" xfId="10" xr:uid="{3AFA36AA-6695-4759-AFB4-1ADDB18C72A9}"/>
  </cellStyles>
  <dxfs count="469">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rgb="FFFF3333"/>
        </patternFill>
      </fill>
    </dxf>
    <dxf>
      <fill>
        <patternFill>
          <bgColor rgb="FFF79646"/>
        </patternFill>
      </fill>
    </dxf>
    <dxf>
      <fill>
        <patternFill>
          <bgColor rgb="FFFFC000"/>
        </patternFill>
      </fill>
    </dxf>
    <dxf>
      <fill>
        <patternFill>
          <bgColor rgb="FF92D050"/>
        </patternFill>
      </fill>
    </dxf>
    <dxf>
      <fill>
        <patternFill>
          <bgColor rgb="FF00B050"/>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70C0"/>
      </font>
      <fill>
        <patternFill>
          <bgColor rgb="FF0070C0"/>
        </patternFill>
      </fill>
    </dxf>
    <dxf>
      <font>
        <color rgb="FF0070C0"/>
      </font>
      <fill>
        <patternFill>
          <bgColor rgb="FF0070C0"/>
        </patternFill>
      </fill>
    </dxf>
    <dxf>
      <font>
        <color rgb="FF0070C0"/>
      </font>
      <fill>
        <patternFill>
          <bgColor rgb="FF0070C0"/>
        </patternFill>
      </fill>
    </dxf>
    <dxf>
      <font>
        <color rgb="FF0070C0"/>
      </font>
      <fill>
        <patternFill>
          <bgColor rgb="FF0070C0"/>
        </patternFill>
      </fill>
    </dxf>
    <dxf>
      <font>
        <b/>
        <i val="0"/>
        <color theme="1"/>
      </font>
      <fill>
        <patternFill>
          <bgColor theme="0" tint="-0.14996795556505021"/>
        </patternFill>
      </fill>
    </dxf>
    <dxf>
      <font>
        <b/>
        <i val="0"/>
        <color theme="0"/>
      </font>
      <fill>
        <patternFill>
          <bgColor rgb="FFFFC000"/>
        </patternFill>
      </fill>
    </dxf>
    <dxf>
      <font>
        <color rgb="FF9C0006"/>
      </font>
      <fill>
        <patternFill>
          <bgColor rgb="FFFFC7CE"/>
        </patternFill>
      </fill>
    </dxf>
    <dxf>
      <font>
        <b/>
        <i val="0"/>
        <color theme="1"/>
      </font>
      <fill>
        <patternFill>
          <bgColor theme="0" tint="-0.14996795556505021"/>
        </patternFill>
      </fill>
    </dxf>
    <dxf>
      <font>
        <b/>
        <i val="0"/>
        <color theme="0"/>
      </font>
      <fill>
        <patternFill>
          <bgColor rgb="FF00B050"/>
        </patternFill>
      </fill>
    </dxf>
    <dxf>
      <font>
        <b/>
        <i val="0"/>
        <color theme="0"/>
      </font>
      <fill>
        <patternFill>
          <bgColor rgb="FFFF0000"/>
        </patternFill>
      </fill>
    </dxf>
    <dxf>
      <font>
        <color rgb="FFFF0000"/>
      </font>
      <fill>
        <patternFill>
          <bgColor rgb="FFFF0000"/>
        </patternFill>
      </fill>
    </dxf>
    <dxf>
      <font>
        <color rgb="FFFFC000"/>
      </font>
      <fill>
        <patternFill>
          <bgColor rgb="FFFFC000"/>
        </patternFill>
      </fill>
    </dxf>
    <dxf>
      <font>
        <color rgb="FF00B050"/>
      </font>
      <fill>
        <patternFill>
          <bgColor rgb="FF00B050"/>
        </patternFill>
      </fill>
    </dxf>
    <dxf>
      <font>
        <b/>
        <i val="0"/>
        <color theme="1"/>
      </font>
      <fill>
        <patternFill>
          <bgColor theme="0" tint="-0.14996795556505021"/>
        </patternFill>
      </fill>
    </dxf>
    <dxf>
      <font>
        <b/>
        <i val="0"/>
        <color theme="1"/>
      </font>
      <fill>
        <patternFill>
          <bgColor theme="0" tint="-0.14996795556505021"/>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
      <fill>
        <patternFill>
          <bgColor rgb="FFFFFFD1"/>
        </patternFill>
      </fill>
    </dxf>
    <dxf>
      <fill>
        <patternFill>
          <bgColor theme="9" tint="0.79998168889431442"/>
        </patternFill>
      </fill>
    </dxf>
    <dxf>
      <fill>
        <patternFill>
          <bgColor theme="9" tint="0.39994506668294322"/>
        </patternFill>
      </fill>
    </dxf>
    <dxf>
      <fill>
        <patternFill>
          <bgColor rgb="FFFFC000"/>
        </patternFill>
      </fill>
    </dxf>
    <dxf>
      <font>
        <b/>
        <i val="0"/>
        <color theme="0"/>
      </font>
      <fill>
        <patternFill>
          <bgColor theme="9" tint="-0.24994659260841701"/>
        </patternFill>
      </fill>
    </dxf>
    <dxf>
      <font>
        <b/>
        <i val="0"/>
        <color rgb="FF00B050"/>
      </font>
      <fill>
        <patternFill>
          <bgColor rgb="FFD9FFEA"/>
        </patternFill>
      </fill>
    </dxf>
    <dxf>
      <font>
        <b/>
        <i val="0"/>
        <color rgb="FFFF0000"/>
      </font>
      <fill>
        <patternFill>
          <bgColor rgb="FFFFAFAF"/>
        </patternFill>
      </fill>
    </dxf>
    <dxf>
      <font>
        <b val="0"/>
        <i val="0"/>
      </font>
      <fill>
        <patternFill patternType="solid"/>
      </fill>
      <border>
        <left style="dashDot">
          <color theme="1"/>
        </left>
        <right style="dashDot">
          <color theme="1"/>
        </right>
        <top style="dashDot">
          <color theme="1"/>
        </top>
        <bottom style="dashDot">
          <color theme="1"/>
        </bottom>
      </border>
    </dxf>
    <dxf>
      <fill>
        <patternFill>
          <bgColor rgb="FFFFFF00"/>
        </patternFill>
      </fill>
      <border>
        <left style="dashDot">
          <color auto="1"/>
        </left>
        <right style="dashDot">
          <color auto="1"/>
        </right>
        <top style="dashDot">
          <color auto="1"/>
        </top>
        <bottom style="dashDot">
          <color auto="1"/>
        </bottom>
      </border>
    </dxf>
    <dxf>
      <fill>
        <patternFill>
          <bgColor theme="4" tint="0.79998168889431442"/>
        </patternFill>
      </fill>
      <border>
        <left style="thin">
          <color auto="1"/>
        </left>
        <right style="thin">
          <color auto="1"/>
        </right>
        <top style="thin">
          <color auto="1"/>
        </top>
        <bottom style="thin">
          <color auto="1"/>
        </bottom>
      </border>
    </dxf>
    <dxf>
      <font>
        <b val="0"/>
        <i val="0"/>
      </font>
      <fill>
        <patternFill>
          <bgColor theme="3" tint="0.59996337778862885"/>
        </patternFill>
      </fill>
      <border>
        <left style="thin">
          <color auto="1"/>
        </left>
        <right style="thin">
          <color auto="1"/>
        </right>
        <top style="thin">
          <color auto="1"/>
        </top>
        <bottom style="thin">
          <color auto="1"/>
        </bottom>
      </border>
    </dxf>
    <dxf>
      <font>
        <b/>
        <i val="0"/>
        <color theme="0"/>
      </font>
      <fill>
        <patternFill>
          <bgColor rgb="FF0070C0"/>
        </patternFill>
      </fill>
    </dxf>
    <dxf>
      <font>
        <b/>
        <i val="0"/>
        <color theme="0"/>
      </font>
      <fill>
        <patternFill>
          <bgColor rgb="FF002060"/>
        </patternFill>
      </fill>
    </dxf>
  </dxfs>
  <tableStyles count="0" defaultTableStyle="TableStyleMedium9" defaultPivotStyle="PivotStyleLight16"/>
  <colors>
    <mruColors>
      <color rgb="FFFF481D"/>
      <color rgb="FFD9FFEA"/>
      <color rgb="FFFFAFAF"/>
      <color rgb="FFFF9393"/>
      <color rgb="FFFA7A7A"/>
      <color rgb="FFFF6699"/>
      <color rgb="FFFF3399"/>
      <color rgb="FFFF7C80"/>
      <color rgb="FFFFFFD1"/>
      <color rgb="FFFBE1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5</xdr:col>
      <xdr:colOff>1057645</xdr:colOff>
      <xdr:row>1</xdr:row>
      <xdr:rowOff>212750</xdr:rowOff>
    </xdr:from>
    <xdr:to>
      <xdr:col>6</xdr:col>
      <xdr:colOff>627890</xdr:colOff>
      <xdr:row>6</xdr:row>
      <xdr:rowOff>122465</xdr:rowOff>
    </xdr:to>
    <xdr:pic>
      <xdr:nvPicPr>
        <xdr:cNvPr id="2" name="Picture 1" descr="C:\Users\ALFANEXT\Documents\Downloads\LOGO HAYA.jpg">
          <a:extLst>
            <a:ext uri="{FF2B5EF4-FFF2-40B4-BE49-F238E27FC236}">
              <a16:creationId xmlns:a16="http://schemas.microsoft.com/office/drawing/2014/main" id="{3603AE4C-3520-4C5A-A35B-055EFABDDE66}"/>
            </a:ext>
          </a:extLst>
        </xdr:cNvPr>
        <xdr:cNvPicPr>
          <a:picLocks noChangeAspect="1" noChangeArrowheads="1"/>
        </xdr:cNvPicPr>
      </xdr:nvPicPr>
      <xdr:blipFill>
        <a:blip xmlns:r="http://schemas.openxmlformats.org/officeDocument/2006/relationships" r:embed="rId1" cstate="screen">
          <a:extLst>
            <a:ext uri="{28A0092B-C50C-407E-A947-70E740481C1C}">
              <a14:useLocalDpi xmlns:a14="http://schemas.microsoft.com/office/drawing/2010/main" val="0"/>
            </a:ext>
          </a:extLst>
        </a:blip>
        <a:srcRect/>
        <a:stretch>
          <a:fillRect/>
        </a:stretch>
      </xdr:blipFill>
      <xdr:spPr bwMode="auto">
        <a:xfrm>
          <a:off x="5743945" y="308000"/>
          <a:ext cx="998995" cy="109081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54412</xdr:colOff>
      <xdr:row>0</xdr:row>
      <xdr:rowOff>84362</xdr:rowOff>
    </xdr:from>
    <xdr:to>
      <xdr:col>7</xdr:col>
      <xdr:colOff>1494412</xdr:colOff>
      <xdr:row>0</xdr:row>
      <xdr:rowOff>300362</xdr:rowOff>
    </xdr:to>
    <xdr:sp macro="[0]!filtro_respcanbcan" textlink="">
      <xdr:nvSpPr>
        <xdr:cNvPr id="4" name="3 Rectángulo">
          <a:extLst>
            <a:ext uri="{FF2B5EF4-FFF2-40B4-BE49-F238E27FC236}">
              <a16:creationId xmlns:a16="http://schemas.microsoft.com/office/drawing/2014/main" id="{00000000-0008-0000-0000-000004000000}"/>
            </a:ext>
          </a:extLst>
        </xdr:cNvPr>
        <xdr:cNvSpPr/>
      </xdr:nvSpPr>
      <xdr:spPr>
        <a:xfrm>
          <a:off x="7184555" y="84362"/>
          <a:ext cx="1440000" cy="216000"/>
        </a:xfrm>
        <a:prstGeom prst="rect">
          <a:avLst/>
        </a:prstGeom>
        <a:solidFill>
          <a:srgbClr val="00206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bg1"/>
              </a:solidFill>
              <a:latin typeface="+mn-lt"/>
              <a:ea typeface="+mn-ea"/>
              <a:cs typeface="+mn-cs"/>
            </a:rPr>
            <a:t>RESP</a:t>
          </a:r>
          <a:r>
            <a:rPr lang="es-ES" sz="1600" b="1" baseline="0">
              <a:solidFill>
                <a:schemeClr val="bg1"/>
              </a:solidFill>
              <a:latin typeface="+mn-lt"/>
              <a:ea typeface="+mn-ea"/>
              <a:cs typeface="+mn-cs"/>
            </a:rPr>
            <a:t> y </a:t>
          </a:r>
          <a:r>
            <a:rPr lang="es-ES" sz="1600" b="1">
              <a:solidFill>
                <a:schemeClr val="bg1"/>
              </a:solidFill>
              <a:latin typeface="+mn-lt"/>
              <a:ea typeface="+mn-ea"/>
              <a:cs typeface="+mn-cs"/>
            </a:rPr>
            <a:t>CANs</a:t>
          </a:r>
        </a:p>
      </xdr:txBody>
    </xdr:sp>
    <xdr:clientData/>
  </xdr:twoCellAnchor>
  <xdr:twoCellAnchor>
    <xdr:from>
      <xdr:col>7</xdr:col>
      <xdr:colOff>1612435</xdr:colOff>
      <xdr:row>0</xdr:row>
      <xdr:rowOff>84362</xdr:rowOff>
    </xdr:from>
    <xdr:to>
      <xdr:col>8</xdr:col>
      <xdr:colOff>396875</xdr:colOff>
      <xdr:row>0</xdr:row>
      <xdr:rowOff>285750</xdr:rowOff>
    </xdr:to>
    <xdr:sp macro="[0]!filtro_sustitutos" textlink="">
      <xdr:nvSpPr>
        <xdr:cNvPr id="5" name="4 Rectángulo">
          <a:extLst>
            <a:ext uri="{FF2B5EF4-FFF2-40B4-BE49-F238E27FC236}">
              <a16:creationId xmlns:a16="http://schemas.microsoft.com/office/drawing/2014/main" id="{00000000-0008-0000-0000-000005000000}"/>
            </a:ext>
          </a:extLst>
        </xdr:cNvPr>
        <xdr:cNvSpPr/>
      </xdr:nvSpPr>
      <xdr:spPr>
        <a:xfrm>
          <a:off x="9280060" y="84362"/>
          <a:ext cx="1387940" cy="201388"/>
        </a:xfrm>
        <a:prstGeom prst="rect">
          <a:avLst/>
        </a:prstGeom>
        <a:solidFill>
          <a:schemeClr val="accent1">
            <a:lumMod val="20000"/>
            <a:lumOff val="8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tx1"/>
              </a:solidFill>
              <a:latin typeface="+mn-lt"/>
              <a:ea typeface="+mn-ea"/>
              <a:cs typeface="+mn-cs"/>
            </a:rPr>
            <a:t>SUSTITUTOS</a:t>
          </a:r>
        </a:p>
      </xdr:txBody>
    </xdr:sp>
    <xdr:clientData/>
  </xdr:twoCellAnchor>
  <xdr:twoCellAnchor>
    <xdr:from>
      <xdr:col>8</xdr:col>
      <xdr:colOff>496656</xdr:colOff>
      <xdr:row>0</xdr:row>
      <xdr:rowOff>84362</xdr:rowOff>
    </xdr:from>
    <xdr:to>
      <xdr:col>9</xdr:col>
      <xdr:colOff>317500</xdr:colOff>
      <xdr:row>0</xdr:row>
      <xdr:rowOff>285750</xdr:rowOff>
    </xdr:to>
    <xdr:sp macro="[0]!filtro_externos" textlink="">
      <xdr:nvSpPr>
        <xdr:cNvPr id="6" name="5 Rectángulo">
          <a:extLst>
            <a:ext uri="{FF2B5EF4-FFF2-40B4-BE49-F238E27FC236}">
              <a16:creationId xmlns:a16="http://schemas.microsoft.com/office/drawing/2014/main" id="{00000000-0008-0000-0000-000006000000}"/>
            </a:ext>
          </a:extLst>
        </xdr:cNvPr>
        <xdr:cNvSpPr/>
      </xdr:nvSpPr>
      <xdr:spPr>
        <a:xfrm>
          <a:off x="10767781" y="84362"/>
          <a:ext cx="1614719" cy="201388"/>
        </a:xfrm>
        <a:prstGeom prst="rect">
          <a:avLst/>
        </a:prstGeom>
        <a:solidFill>
          <a:srgbClr val="FFFF0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tx1"/>
              </a:solidFill>
              <a:latin typeface="+mn-lt"/>
              <a:ea typeface="+mn-ea"/>
              <a:cs typeface="+mn-cs"/>
            </a:rPr>
            <a:t>BACKUPS</a:t>
          </a:r>
          <a:r>
            <a:rPr lang="es-ES" sz="1600" b="1" baseline="0">
              <a:solidFill>
                <a:schemeClr val="tx1"/>
              </a:solidFill>
              <a:latin typeface="+mn-lt"/>
              <a:ea typeface="+mn-ea"/>
              <a:cs typeface="+mn-cs"/>
            </a:rPr>
            <a:t> EXT.</a:t>
          </a:r>
          <a:endParaRPr lang="es-ES" sz="1600" b="1">
            <a:solidFill>
              <a:schemeClr val="tx1"/>
            </a:solidFill>
            <a:latin typeface="+mn-lt"/>
            <a:ea typeface="+mn-ea"/>
            <a:cs typeface="+mn-cs"/>
          </a:endParaRPr>
        </a:p>
      </xdr:txBody>
    </xdr:sp>
    <xdr:clientData/>
  </xdr:twoCellAnchor>
  <xdr:twoCellAnchor>
    <xdr:from>
      <xdr:col>7</xdr:col>
      <xdr:colOff>54430</xdr:colOff>
      <xdr:row>0</xdr:row>
      <xdr:rowOff>368219</xdr:rowOff>
    </xdr:from>
    <xdr:to>
      <xdr:col>7</xdr:col>
      <xdr:colOff>774430</xdr:colOff>
      <xdr:row>0</xdr:row>
      <xdr:rowOff>584219</xdr:rowOff>
    </xdr:to>
    <xdr:sp macro="[0]!filtro_activar_4h" textlink="">
      <xdr:nvSpPr>
        <xdr:cNvPr id="7" name="6 Rectángulo">
          <a:extLst>
            <a:ext uri="{FF2B5EF4-FFF2-40B4-BE49-F238E27FC236}">
              <a16:creationId xmlns:a16="http://schemas.microsoft.com/office/drawing/2014/main" id="{00000000-0008-0000-0000-000007000000}"/>
            </a:ext>
          </a:extLst>
        </xdr:cNvPr>
        <xdr:cNvSpPr/>
      </xdr:nvSpPr>
      <xdr:spPr>
        <a:xfrm>
          <a:off x="7184573" y="368219"/>
          <a:ext cx="720000" cy="216000"/>
        </a:xfrm>
        <a:prstGeom prst="rect">
          <a:avLst/>
        </a:prstGeom>
        <a:solidFill>
          <a:schemeClr val="tx2">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600" b="1">
              <a:solidFill>
                <a:schemeClr val="tx1"/>
              </a:solidFill>
              <a:latin typeface="+mn-lt"/>
              <a:ea typeface="+mn-ea"/>
              <a:cs typeface="+mn-cs"/>
            </a:rPr>
            <a:t>4h</a:t>
          </a:r>
        </a:p>
      </xdr:txBody>
    </xdr:sp>
    <xdr:clientData/>
  </xdr:twoCellAnchor>
  <xdr:twoCellAnchor>
    <xdr:from>
      <xdr:col>7</xdr:col>
      <xdr:colOff>1064722</xdr:colOff>
      <xdr:row>0</xdr:row>
      <xdr:rowOff>368219</xdr:rowOff>
    </xdr:from>
    <xdr:to>
      <xdr:col>7</xdr:col>
      <xdr:colOff>1784722</xdr:colOff>
      <xdr:row>0</xdr:row>
      <xdr:rowOff>584219</xdr:rowOff>
    </xdr:to>
    <xdr:sp macro="[0]!filtro_activar_24h" textlink="">
      <xdr:nvSpPr>
        <xdr:cNvPr id="8" name="7 Rectángulo">
          <a:extLst>
            <a:ext uri="{FF2B5EF4-FFF2-40B4-BE49-F238E27FC236}">
              <a16:creationId xmlns:a16="http://schemas.microsoft.com/office/drawing/2014/main" id="{00000000-0008-0000-0000-000008000000}"/>
            </a:ext>
          </a:extLst>
        </xdr:cNvPr>
        <xdr:cNvSpPr/>
      </xdr:nvSpPr>
      <xdr:spPr>
        <a:xfrm>
          <a:off x="9378686" y="368219"/>
          <a:ext cx="720000" cy="216000"/>
        </a:xfrm>
        <a:prstGeom prst="rect">
          <a:avLst/>
        </a:prstGeom>
        <a:solidFill>
          <a:schemeClr val="tx2">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600" b="1">
              <a:solidFill>
                <a:schemeClr val="tx1"/>
              </a:solidFill>
              <a:latin typeface="+mn-lt"/>
              <a:ea typeface="+mn-ea"/>
              <a:cs typeface="+mn-cs"/>
            </a:rPr>
            <a:t>24h</a:t>
          </a:r>
        </a:p>
      </xdr:txBody>
    </xdr:sp>
    <xdr:clientData/>
  </xdr:twoCellAnchor>
  <xdr:twoCellAnchor>
    <xdr:from>
      <xdr:col>7</xdr:col>
      <xdr:colOff>2075014</xdr:colOff>
      <xdr:row>0</xdr:row>
      <xdr:rowOff>368219</xdr:rowOff>
    </xdr:from>
    <xdr:to>
      <xdr:col>8</xdr:col>
      <xdr:colOff>196049</xdr:colOff>
      <xdr:row>0</xdr:row>
      <xdr:rowOff>584219</xdr:rowOff>
    </xdr:to>
    <xdr:sp macro="[0]!filtro_activar_48h" textlink="">
      <xdr:nvSpPr>
        <xdr:cNvPr id="9" name="8 Rectángulo">
          <a:extLst>
            <a:ext uri="{FF2B5EF4-FFF2-40B4-BE49-F238E27FC236}">
              <a16:creationId xmlns:a16="http://schemas.microsoft.com/office/drawing/2014/main" id="{00000000-0008-0000-0000-000009000000}"/>
            </a:ext>
          </a:extLst>
        </xdr:cNvPr>
        <xdr:cNvSpPr/>
      </xdr:nvSpPr>
      <xdr:spPr>
        <a:xfrm>
          <a:off x="10388978" y="368219"/>
          <a:ext cx="720000" cy="216000"/>
        </a:xfrm>
        <a:prstGeom prst="rect">
          <a:avLst/>
        </a:prstGeom>
        <a:solidFill>
          <a:schemeClr val="tx2">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600" b="1">
              <a:solidFill>
                <a:schemeClr val="tx1"/>
              </a:solidFill>
              <a:latin typeface="+mn-lt"/>
              <a:ea typeface="+mn-ea"/>
              <a:cs typeface="+mn-cs"/>
            </a:rPr>
            <a:t>48h</a:t>
          </a:r>
        </a:p>
      </xdr:txBody>
    </xdr:sp>
    <xdr:clientData/>
  </xdr:twoCellAnchor>
  <xdr:twoCellAnchor>
    <xdr:from>
      <xdr:col>8</xdr:col>
      <xdr:colOff>486341</xdr:colOff>
      <xdr:row>0</xdr:row>
      <xdr:rowOff>368219</xdr:rowOff>
    </xdr:from>
    <xdr:to>
      <xdr:col>8</xdr:col>
      <xdr:colOff>1079500</xdr:colOff>
      <xdr:row>0</xdr:row>
      <xdr:rowOff>571500</xdr:rowOff>
    </xdr:to>
    <xdr:sp macro="[0]!filtro_activar_1s" textlink="">
      <xdr:nvSpPr>
        <xdr:cNvPr id="10" name="9 Rectángulo">
          <a:extLst>
            <a:ext uri="{FF2B5EF4-FFF2-40B4-BE49-F238E27FC236}">
              <a16:creationId xmlns:a16="http://schemas.microsoft.com/office/drawing/2014/main" id="{00000000-0008-0000-0000-00000A000000}"/>
            </a:ext>
          </a:extLst>
        </xdr:cNvPr>
        <xdr:cNvSpPr/>
      </xdr:nvSpPr>
      <xdr:spPr>
        <a:xfrm>
          <a:off x="10757466" y="368219"/>
          <a:ext cx="593159" cy="203281"/>
        </a:xfrm>
        <a:prstGeom prst="rect">
          <a:avLst/>
        </a:prstGeom>
        <a:solidFill>
          <a:schemeClr val="tx2">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600" b="1">
              <a:solidFill>
                <a:schemeClr val="tx1"/>
              </a:solidFill>
              <a:latin typeface="+mn-lt"/>
              <a:ea typeface="+mn-ea"/>
              <a:cs typeface="+mn-cs"/>
            </a:rPr>
            <a:t>1s</a:t>
          </a:r>
        </a:p>
      </xdr:txBody>
    </xdr:sp>
    <xdr:clientData/>
  </xdr:twoCellAnchor>
  <xdr:twoCellAnchor>
    <xdr:from>
      <xdr:col>8</xdr:col>
      <xdr:colOff>1401384</xdr:colOff>
      <xdr:row>0</xdr:row>
      <xdr:rowOff>368219</xdr:rowOff>
    </xdr:from>
    <xdr:to>
      <xdr:col>9</xdr:col>
      <xdr:colOff>327509</xdr:colOff>
      <xdr:row>0</xdr:row>
      <xdr:rowOff>584219</xdr:rowOff>
    </xdr:to>
    <xdr:sp macro="[0]!filtro_activar_2s" textlink="">
      <xdr:nvSpPr>
        <xdr:cNvPr id="11" name="10 Rectángulo">
          <a:extLst>
            <a:ext uri="{FF2B5EF4-FFF2-40B4-BE49-F238E27FC236}">
              <a16:creationId xmlns:a16="http://schemas.microsoft.com/office/drawing/2014/main" id="{00000000-0008-0000-0000-00000B000000}"/>
            </a:ext>
          </a:extLst>
        </xdr:cNvPr>
        <xdr:cNvSpPr/>
      </xdr:nvSpPr>
      <xdr:spPr>
        <a:xfrm>
          <a:off x="11672509" y="368219"/>
          <a:ext cx="720000" cy="216000"/>
        </a:xfrm>
        <a:prstGeom prst="rect">
          <a:avLst/>
        </a:prstGeom>
        <a:solidFill>
          <a:schemeClr val="tx2">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600" b="1">
              <a:solidFill>
                <a:schemeClr val="tx1"/>
              </a:solidFill>
              <a:latin typeface="+mn-lt"/>
              <a:ea typeface="+mn-ea"/>
              <a:cs typeface="+mn-cs"/>
            </a:rPr>
            <a:t>2s</a:t>
          </a:r>
        </a:p>
      </xdr:txBody>
    </xdr:sp>
    <xdr:clientData/>
  </xdr:twoCellAnchor>
  <xdr:twoCellAnchor>
    <xdr:from>
      <xdr:col>4</xdr:col>
      <xdr:colOff>40806</xdr:colOff>
      <xdr:row>0</xdr:row>
      <xdr:rowOff>84361</xdr:rowOff>
    </xdr:from>
    <xdr:to>
      <xdr:col>4</xdr:col>
      <xdr:colOff>1516806</xdr:colOff>
      <xdr:row>0</xdr:row>
      <xdr:rowOff>312964</xdr:rowOff>
    </xdr:to>
    <xdr:sp macro="[0]!autoajustar" textlink="">
      <xdr:nvSpPr>
        <xdr:cNvPr id="13" name="12 Rectángulo">
          <a:extLst>
            <a:ext uri="{FF2B5EF4-FFF2-40B4-BE49-F238E27FC236}">
              <a16:creationId xmlns:a16="http://schemas.microsoft.com/office/drawing/2014/main" id="{00000000-0008-0000-0000-00000D000000}"/>
            </a:ext>
          </a:extLst>
        </xdr:cNvPr>
        <xdr:cNvSpPr/>
      </xdr:nvSpPr>
      <xdr:spPr>
        <a:xfrm>
          <a:off x="4335715" y="84361"/>
          <a:ext cx="1476000" cy="228603"/>
        </a:xfrm>
        <a:prstGeom prst="rect">
          <a:avLst/>
        </a:prstGeom>
        <a:solidFill>
          <a:schemeClr val="accent4">
            <a:lumMod val="40000"/>
            <a:lumOff val="60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tx1"/>
              </a:solidFill>
              <a:latin typeface="+mn-lt"/>
              <a:ea typeface="+mn-ea"/>
              <a:cs typeface="+mn-cs"/>
            </a:rPr>
            <a:t>V.COMPLETA</a:t>
          </a:r>
        </a:p>
      </xdr:txBody>
    </xdr:sp>
    <xdr:clientData/>
  </xdr:twoCellAnchor>
  <xdr:twoCellAnchor>
    <xdr:from>
      <xdr:col>4</xdr:col>
      <xdr:colOff>40806</xdr:colOff>
      <xdr:row>0</xdr:row>
      <xdr:rowOff>370111</xdr:rowOff>
    </xdr:from>
    <xdr:to>
      <xdr:col>4</xdr:col>
      <xdr:colOff>1516806</xdr:colOff>
      <xdr:row>0</xdr:row>
      <xdr:rowOff>598714</xdr:rowOff>
    </xdr:to>
    <xdr:sp macro="[0]!altura_minima" textlink="">
      <xdr:nvSpPr>
        <xdr:cNvPr id="14" name="13 Rectángulo">
          <a:extLst>
            <a:ext uri="{FF2B5EF4-FFF2-40B4-BE49-F238E27FC236}">
              <a16:creationId xmlns:a16="http://schemas.microsoft.com/office/drawing/2014/main" id="{00000000-0008-0000-0000-00000E000000}"/>
            </a:ext>
          </a:extLst>
        </xdr:cNvPr>
        <xdr:cNvSpPr/>
      </xdr:nvSpPr>
      <xdr:spPr>
        <a:xfrm>
          <a:off x="4335715" y="370111"/>
          <a:ext cx="1476000" cy="228603"/>
        </a:xfrm>
        <a:prstGeom prst="rect">
          <a:avLst/>
        </a:prstGeom>
        <a:solidFill>
          <a:srgbClr val="FF6699"/>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tx1"/>
              </a:solidFill>
              <a:latin typeface="+mn-lt"/>
              <a:ea typeface="+mn-ea"/>
              <a:cs typeface="+mn-cs"/>
            </a:rPr>
            <a:t>V.COMPACTA</a:t>
          </a:r>
        </a:p>
      </xdr:txBody>
    </xdr:sp>
    <xdr:clientData/>
  </xdr:twoCellAnchor>
  <xdr:oneCellAnchor>
    <xdr:from>
      <xdr:col>6</xdr:col>
      <xdr:colOff>40820</xdr:colOff>
      <xdr:row>0</xdr:row>
      <xdr:rowOff>88866</xdr:rowOff>
    </xdr:from>
    <xdr:ext cx="900000" cy="500906"/>
    <xdr:sp macro="[0]!fitro_limpiar" textlink="">
      <xdr:nvSpPr>
        <xdr:cNvPr id="18" name="17 Rectángulo">
          <a:extLst>
            <a:ext uri="{FF2B5EF4-FFF2-40B4-BE49-F238E27FC236}">
              <a16:creationId xmlns:a16="http://schemas.microsoft.com/office/drawing/2014/main" id="{00000000-0008-0000-0000-000012000000}"/>
            </a:ext>
          </a:extLst>
        </xdr:cNvPr>
        <xdr:cNvSpPr/>
      </xdr:nvSpPr>
      <xdr:spPr>
        <a:xfrm>
          <a:off x="7402284" y="88866"/>
          <a:ext cx="900000" cy="500906"/>
        </a:xfrm>
        <a:prstGeom prst="rect">
          <a:avLst/>
        </a:prstGeom>
        <a:solidFill>
          <a:schemeClr val="bg1"/>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0" tIns="0" rIns="0" bIns="0" rtlCol="0" anchor="ctr">
          <a:noAutofit/>
        </a:bodyPr>
        <a:lstStyle/>
        <a:p>
          <a:pPr marL="0" indent="0" algn="ctr"/>
          <a:r>
            <a:rPr lang="es-ES" sz="1600" b="1">
              <a:solidFill>
                <a:schemeClr val="tx1"/>
              </a:solidFill>
              <a:latin typeface="+mn-lt"/>
              <a:ea typeface="+mn-ea"/>
              <a:cs typeface="+mn-cs"/>
            </a:rPr>
            <a:t>QUITAR FILTROS</a:t>
          </a:r>
        </a:p>
      </xdr:txBody>
    </xdr:sp>
    <xdr:clientData/>
  </xdr:oneCellAnchor>
  <xdr:twoCellAnchor>
    <xdr:from>
      <xdr:col>7</xdr:col>
      <xdr:colOff>707571</xdr:colOff>
      <xdr:row>0</xdr:row>
      <xdr:rowOff>353785</xdr:rowOff>
    </xdr:from>
    <xdr:to>
      <xdr:col>7</xdr:col>
      <xdr:colOff>1074964</xdr:colOff>
      <xdr:row>0</xdr:row>
      <xdr:rowOff>616403</xdr:rowOff>
    </xdr:to>
    <xdr:sp macro="" textlink="">
      <xdr:nvSpPr>
        <xdr:cNvPr id="2" name="1 Flecha derecha">
          <a:extLst>
            <a:ext uri="{FF2B5EF4-FFF2-40B4-BE49-F238E27FC236}">
              <a16:creationId xmlns:a16="http://schemas.microsoft.com/office/drawing/2014/main" id="{00000000-0008-0000-0000-000002000000}"/>
            </a:ext>
          </a:extLst>
        </xdr:cNvPr>
        <xdr:cNvSpPr/>
      </xdr:nvSpPr>
      <xdr:spPr>
        <a:xfrm>
          <a:off x="7837714" y="353785"/>
          <a:ext cx="367393" cy="262618"/>
        </a:xfrm>
        <a:prstGeom prst="rightArrow">
          <a:avLst/>
        </a:prstGeom>
        <a:solidFill>
          <a:srgbClr val="002060"/>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1738086</xdr:colOff>
      <xdr:row>0</xdr:row>
      <xdr:rowOff>356507</xdr:rowOff>
    </xdr:from>
    <xdr:to>
      <xdr:col>7</xdr:col>
      <xdr:colOff>2105479</xdr:colOff>
      <xdr:row>0</xdr:row>
      <xdr:rowOff>619125</xdr:rowOff>
    </xdr:to>
    <xdr:sp macro="" textlink="">
      <xdr:nvSpPr>
        <xdr:cNvPr id="15" name="14 Flecha derecha">
          <a:extLst>
            <a:ext uri="{FF2B5EF4-FFF2-40B4-BE49-F238E27FC236}">
              <a16:creationId xmlns:a16="http://schemas.microsoft.com/office/drawing/2014/main" id="{00000000-0008-0000-0000-00000F000000}"/>
            </a:ext>
          </a:extLst>
        </xdr:cNvPr>
        <xdr:cNvSpPr/>
      </xdr:nvSpPr>
      <xdr:spPr>
        <a:xfrm>
          <a:off x="10052050" y="356507"/>
          <a:ext cx="367393" cy="262618"/>
        </a:xfrm>
        <a:prstGeom prst="rightArrow">
          <a:avLst/>
        </a:prstGeom>
        <a:solidFill>
          <a:srgbClr val="002060"/>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ES" sz="1100">
            <a:solidFill>
              <a:schemeClr val="lt1"/>
            </a:solidFill>
            <a:latin typeface="+mn-lt"/>
            <a:ea typeface="+mn-ea"/>
            <a:cs typeface="+mn-cs"/>
          </a:endParaRPr>
        </a:p>
      </xdr:txBody>
    </xdr:sp>
    <xdr:clientData/>
  </xdr:twoCellAnchor>
  <xdr:twoCellAnchor>
    <xdr:from>
      <xdr:col>8</xdr:col>
      <xdr:colOff>169636</xdr:colOff>
      <xdr:row>0</xdr:row>
      <xdr:rowOff>353785</xdr:rowOff>
    </xdr:from>
    <xdr:to>
      <xdr:col>8</xdr:col>
      <xdr:colOff>537029</xdr:colOff>
      <xdr:row>0</xdr:row>
      <xdr:rowOff>616403</xdr:rowOff>
    </xdr:to>
    <xdr:sp macro="" textlink="">
      <xdr:nvSpPr>
        <xdr:cNvPr id="16" name="15 Flecha derecha">
          <a:extLst>
            <a:ext uri="{FF2B5EF4-FFF2-40B4-BE49-F238E27FC236}">
              <a16:creationId xmlns:a16="http://schemas.microsoft.com/office/drawing/2014/main" id="{00000000-0008-0000-0000-000010000000}"/>
            </a:ext>
          </a:extLst>
        </xdr:cNvPr>
        <xdr:cNvSpPr/>
      </xdr:nvSpPr>
      <xdr:spPr>
        <a:xfrm>
          <a:off x="11082565" y="353785"/>
          <a:ext cx="367393" cy="262618"/>
        </a:xfrm>
        <a:prstGeom prst="rightArrow">
          <a:avLst/>
        </a:prstGeom>
        <a:solidFill>
          <a:srgbClr val="002060"/>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ES" sz="1100">
            <a:solidFill>
              <a:schemeClr val="lt1"/>
            </a:solidFill>
            <a:latin typeface="+mn-lt"/>
            <a:ea typeface="+mn-ea"/>
            <a:cs typeface="+mn-cs"/>
          </a:endParaRPr>
        </a:p>
      </xdr:txBody>
    </xdr:sp>
    <xdr:clientData/>
  </xdr:twoCellAnchor>
  <xdr:twoCellAnchor>
    <xdr:from>
      <xdr:col>8</xdr:col>
      <xdr:colOff>1009651</xdr:colOff>
      <xdr:row>0</xdr:row>
      <xdr:rowOff>356505</xdr:rowOff>
    </xdr:from>
    <xdr:to>
      <xdr:col>8</xdr:col>
      <xdr:colOff>1397001</xdr:colOff>
      <xdr:row>0</xdr:row>
      <xdr:rowOff>619124</xdr:rowOff>
    </xdr:to>
    <xdr:sp macro="" textlink="">
      <xdr:nvSpPr>
        <xdr:cNvPr id="17" name="16 Flecha derecha">
          <a:extLst>
            <a:ext uri="{FF2B5EF4-FFF2-40B4-BE49-F238E27FC236}">
              <a16:creationId xmlns:a16="http://schemas.microsoft.com/office/drawing/2014/main" id="{00000000-0008-0000-0000-000011000000}"/>
            </a:ext>
          </a:extLst>
        </xdr:cNvPr>
        <xdr:cNvSpPr/>
      </xdr:nvSpPr>
      <xdr:spPr>
        <a:xfrm>
          <a:off x="11280776" y="356505"/>
          <a:ext cx="387350" cy="262619"/>
        </a:xfrm>
        <a:prstGeom prst="rightArrow">
          <a:avLst/>
        </a:prstGeom>
        <a:solidFill>
          <a:srgbClr val="002060"/>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ES" sz="1100">
            <a:solidFill>
              <a:schemeClr val="lt1"/>
            </a:solidFill>
            <a:latin typeface="+mn-lt"/>
            <a:ea typeface="+mn-ea"/>
            <a:cs typeface="+mn-cs"/>
          </a:endParaRPr>
        </a:p>
      </xdr:txBody>
    </xdr:sp>
    <xdr:clientData/>
  </xdr:twoCellAnchor>
  <xdr:twoCellAnchor>
    <xdr:from>
      <xdr:col>2</xdr:col>
      <xdr:colOff>43294</xdr:colOff>
      <xdr:row>0</xdr:row>
      <xdr:rowOff>84361</xdr:rowOff>
    </xdr:from>
    <xdr:to>
      <xdr:col>2</xdr:col>
      <xdr:colOff>1699294</xdr:colOff>
      <xdr:row>0</xdr:row>
      <xdr:rowOff>312964</xdr:rowOff>
    </xdr:to>
    <xdr:sp macro="[0]!filtro_ordenar_criticidad" textlink="">
      <xdr:nvSpPr>
        <xdr:cNvPr id="20" name="19 Rectángulo">
          <a:extLst>
            <a:ext uri="{FF2B5EF4-FFF2-40B4-BE49-F238E27FC236}">
              <a16:creationId xmlns:a16="http://schemas.microsoft.com/office/drawing/2014/main" id="{00000000-0008-0000-0000-000014000000}"/>
            </a:ext>
          </a:extLst>
        </xdr:cNvPr>
        <xdr:cNvSpPr/>
      </xdr:nvSpPr>
      <xdr:spPr>
        <a:xfrm>
          <a:off x="43294" y="84361"/>
          <a:ext cx="1656000" cy="228603"/>
        </a:xfrm>
        <a:prstGeom prst="rect">
          <a:avLst/>
        </a:prstGeom>
        <a:solidFill>
          <a:srgbClr val="00B05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bg1"/>
              </a:solidFill>
              <a:latin typeface="+mn-lt"/>
              <a:ea typeface="+mn-ea"/>
              <a:cs typeface="+mn-cs"/>
            </a:rPr>
            <a:t>ORDEN CRITICIDAD</a:t>
          </a:r>
        </a:p>
      </xdr:txBody>
    </xdr:sp>
    <xdr:clientData/>
  </xdr:twoCellAnchor>
  <xdr:twoCellAnchor>
    <xdr:from>
      <xdr:col>2</xdr:col>
      <xdr:colOff>43294</xdr:colOff>
      <xdr:row>0</xdr:row>
      <xdr:rowOff>370111</xdr:rowOff>
    </xdr:from>
    <xdr:to>
      <xdr:col>2</xdr:col>
      <xdr:colOff>1699294</xdr:colOff>
      <xdr:row>0</xdr:row>
      <xdr:rowOff>598714</xdr:rowOff>
    </xdr:to>
    <xdr:sp macro="[0]!filtro_ordenar_funcion" textlink="">
      <xdr:nvSpPr>
        <xdr:cNvPr id="21" name="20 Rectángulo">
          <a:extLst>
            <a:ext uri="{FF2B5EF4-FFF2-40B4-BE49-F238E27FC236}">
              <a16:creationId xmlns:a16="http://schemas.microsoft.com/office/drawing/2014/main" id="{00000000-0008-0000-0000-000015000000}"/>
            </a:ext>
          </a:extLst>
        </xdr:cNvPr>
        <xdr:cNvSpPr/>
      </xdr:nvSpPr>
      <xdr:spPr>
        <a:xfrm>
          <a:off x="43294" y="370111"/>
          <a:ext cx="1656000" cy="228603"/>
        </a:xfrm>
        <a:prstGeom prst="rect">
          <a:avLst/>
        </a:prstGeom>
        <a:solidFill>
          <a:srgbClr val="92D05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600" b="1">
              <a:solidFill>
                <a:schemeClr val="tx1"/>
              </a:solidFill>
              <a:latin typeface="+mn-lt"/>
              <a:ea typeface="+mn-ea"/>
              <a:cs typeface="+mn-cs"/>
            </a:rPr>
            <a:t>ORDEN FUNCIÓN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10960</xdr:colOff>
      <xdr:row>1</xdr:row>
      <xdr:rowOff>9339</xdr:rowOff>
    </xdr:from>
    <xdr:to>
      <xdr:col>7</xdr:col>
      <xdr:colOff>541435</xdr:colOff>
      <xdr:row>1</xdr:row>
      <xdr:rowOff>193421</xdr:rowOff>
    </xdr:to>
    <xdr:sp macro="" textlink="">
      <xdr:nvSpPr>
        <xdr:cNvPr id="2" name="5 Rectángulo">
          <a:extLst>
            <a:ext uri="{FF2B5EF4-FFF2-40B4-BE49-F238E27FC236}">
              <a16:creationId xmlns:a16="http://schemas.microsoft.com/office/drawing/2014/main" id="{72428B77-4791-4B4D-A895-0FC7CA5EF79E}"/>
            </a:ext>
          </a:extLst>
        </xdr:cNvPr>
        <xdr:cNvSpPr/>
      </xdr:nvSpPr>
      <xdr:spPr>
        <a:xfrm>
          <a:off x="10450360" y="552264"/>
          <a:ext cx="530475" cy="184082"/>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24h</a:t>
          </a:r>
        </a:p>
      </xdr:txBody>
    </xdr:sp>
    <xdr:clientData/>
  </xdr:twoCellAnchor>
  <xdr:twoCellAnchor>
    <xdr:from>
      <xdr:col>8</xdr:col>
      <xdr:colOff>7452</xdr:colOff>
      <xdr:row>1</xdr:row>
      <xdr:rowOff>8513</xdr:rowOff>
    </xdr:from>
    <xdr:to>
      <xdr:col>9</xdr:col>
      <xdr:colOff>3166</xdr:colOff>
      <xdr:row>1</xdr:row>
      <xdr:rowOff>192595</xdr:rowOff>
    </xdr:to>
    <xdr:sp macro="" textlink="">
      <xdr:nvSpPr>
        <xdr:cNvPr id="3" name="7 Rectángulo">
          <a:extLst>
            <a:ext uri="{FF2B5EF4-FFF2-40B4-BE49-F238E27FC236}">
              <a16:creationId xmlns:a16="http://schemas.microsoft.com/office/drawing/2014/main" id="{D31E90A5-150F-4EE4-9107-51724423FBFA}"/>
            </a:ext>
          </a:extLst>
        </xdr:cNvPr>
        <xdr:cNvSpPr/>
      </xdr:nvSpPr>
      <xdr:spPr>
        <a:xfrm>
          <a:off x="10989777" y="551438"/>
          <a:ext cx="538639" cy="184082"/>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48h</a:t>
          </a:r>
        </a:p>
      </xdr:txBody>
    </xdr:sp>
    <xdr:clientData/>
  </xdr:twoCellAnchor>
  <xdr:twoCellAnchor>
    <xdr:from>
      <xdr:col>9</xdr:col>
      <xdr:colOff>15734</xdr:colOff>
      <xdr:row>1</xdr:row>
      <xdr:rowOff>8513</xdr:rowOff>
    </xdr:from>
    <xdr:to>
      <xdr:col>10</xdr:col>
      <xdr:colOff>3284</xdr:colOff>
      <xdr:row>1</xdr:row>
      <xdr:rowOff>192595</xdr:rowOff>
    </xdr:to>
    <xdr:sp macro="" textlink="">
      <xdr:nvSpPr>
        <xdr:cNvPr id="4" name="8 Rectángulo">
          <a:extLst>
            <a:ext uri="{FF2B5EF4-FFF2-40B4-BE49-F238E27FC236}">
              <a16:creationId xmlns:a16="http://schemas.microsoft.com/office/drawing/2014/main" id="{DCAE0C44-FC23-43A7-A371-200594175AF7}"/>
            </a:ext>
          </a:extLst>
        </xdr:cNvPr>
        <xdr:cNvSpPr/>
      </xdr:nvSpPr>
      <xdr:spPr>
        <a:xfrm>
          <a:off x="11540984" y="551438"/>
          <a:ext cx="530475" cy="184082"/>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1s</a:t>
          </a:r>
        </a:p>
      </xdr:txBody>
    </xdr:sp>
    <xdr:clientData/>
  </xdr:twoCellAnchor>
  <xdr:twoCellAnchor>
    <xdr:from>
      <xdr:col>10</xdr:col>
      <xdr:colOff>10766</xdr:colOff>
      <xdr:row>1</xdr:row>
      <xdr:rowOff>7685</xdr:rowOff>
    </xdr:from>
    <xdr:to>
      <xdr:col>10</xdr:col>
      <xdr:colOff>541241</xdr:colOff>
      <xdr:row>1</xdr:row>
      <xdr:rowOff>191767</xdr:rowOff>
    </xdr:to>
    <xdr:sp macro="" textlink="">
      <xdr:nvSpPr>
        <xdr:cNvPr id="5" name="9 Rectángulo">
          <a:extLst>
            <a:ext uri="{FF2B5EF4-FFF2-40B4-BE49-F238E27FC236}">
              <a16:creationId xmlns:a16="http://schemas.microsoft.com/office/drawing/2014/main" id="{26388A3A-CE82-4EBC-A846-00726F230997}"/>
            </a:ext>
          </a:extLst>
        </xdr:cNvPr>
        <xdr:cNvSpPr/>
      </xdr:nvSpPr>
      <xdr:spPr>
        <a:xfrm>
          <a:off x="12078941" y="550610"/>
          <a:ext cx="530475" cy="184082"/>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2s</a:t>
          </a:r>
        </a:p>
      </xdr:txBody>
    </xdr:sp>
    <xdr:clientData/>
  </xdr:twoCellAnchor>
  <xdr:twoCellAnchor>
    <xdr:from>
      <xdr:col>6</xdr:col>
      <xdr:colOff>13607</xdr:colOff>
      <xdr:row>1</xdr:row>
      <xdr:rowOff>1362</xdr:rowOff>
    </xdr:from>
    <xdr:to>
      <xdr:col>6</xdr:col>
      <xdr:colOff>542807</xdr:colOff>
      <xdr:row>1</xdr:row>
      <xdr:rowOff>185444</xdr:rowOff>
    </xdr:to>
    <xdr:sp macro="" textlink="">
      <xdr:nvSpPr>
        <xdr:cNvPr id="6" name="5 Rectángulo">
          <a:extLst>
            <a:ext uri="{FF2B5EF4-FFF2-40B4-BE49-F238E27FC236}">
              <a16:creationId xmlns:a16="http://schemas.microsoft.com/office/drawing/2014/main" id="{D139A6E5-75AE-4265-9B6F-59A708462AC8}"/>
            </a:ext>
          </a:extLst>
        </xdr:cNvPr>
        <xdr:cNvSpPr/>
      </xdr:nvSpPr>
      <xdr:spPr>
        <a:xfrm>
          <a:off x="9900557" y="544287"/>
          <a:ext cx="529200" cy="184082"/>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4h</a:t>
          </a:r>
        </a:p>
      </xdr:txBody>
    </xdr:sp>
    <xdr:clientData/>
  </xdr:twoCellAnchor>
  <xdr:twoCellAnchor>
    <xdr:from>
      <xdr:col>0</xdr:col>
      <xdr:colOff>82440</xdr:colOff>
      <xdr:row>1</xdr:row>
      <xdr:rowOff>52028</xdr:rowOff>
    </xdr:from>
    <xdr:to>
      <xdr:col>1</xdr:col>
      <xdr:colOff>228117</xdr:colOff>
      <xdr:row>3</xdr:row>
      <xdr:rowOff>147276</xdr:rowOff>
    </xdr:to>
    <xdr:sp macro="[0]!soy_comite" textlink="">
      <xdr:nvSpPr>
        <xdr:cNvPr id="7" name="6 Rectángulo">
          <a:extLst>
            <a:ext uri="{FF2B5EF4-FFF2-40B4-BE49-F238E27FC236}">
              <a16:creationId xmlns:a16="http://schemas.microsoft.com/office/drawing/2014/main" id="{AEB47933-5C44-43B6-95F6-83EF6382780E}"/>
            </a:ext>
          </a:extLst>
        </xdr:cNvPr>
        <xdr:cNvSpPr/>
      </xdr:nvSpPr>
      <xdr:spPr>
        <a:xfrm>
          <a:off x="82440" y="589910"/>
          <a:ext cx="1143001" cy="509866"/>
        </a:xfrm>
        <a:prstGeom prst="rect">
          <a:avLst/>
        </a:prstGeom>
        <a:solidFill>
          <a:srgbClr val="2AA686"/>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200" b="1">
              <a:solidFill>
                <a:schemeClr val="bg1"/>
              </a:solidFill>
              <a:latin typeface="+mn-lt"/>
              <a:ea typeface="+mn-ea"/>
              <a:cs typeface="+mn-cs"/>
            </a:rPr>
            <a:t>SOY MIEMBRO DEL COMITÉ</a:t>
          </a:r>
        </a:p>
      </xdr:txBody>
    </xdr:sp>
    <xdr:clientData/>
  </xdr:twoCellAnchor>
  <xdr:twoCellAnchor>
    <xdr:from>
      <xdr:col>1</xdr:col>
      <xdr:colOff>289753</xdr:colOff>
      <xdr:row>1</xdr:row>
      <xdr:rowOff>52029</xdr:rowOff>
    </xdr:from>
    <xdr:to>
      <xdr:col>1</xdr:col>
      <xdr:colOff>1432754</xdr:colOff>
      <xdr:row>3</xdr:row>
      <xdr:rowOff>147702</xdr:rowOff>
    </xdr:to>
    <xdr:sp macro="[0]!Módulo1.soy_can_bcan" textlink="">
      <xdr:nvSpPr>
        <xdr:cNvPr id="8" name="6 Rectángulo">
          <a:extLst>
            <a:ext uri="{FF2B5EF4-FFF2-40B4-BE49-F238E27FC236}">
              <a16:creationId xmlns:a16="http://schemas.microsoft.com/office/drawing/2014/main" id="{B6496B92-6207-4F51-B5B3-FB4447D396A2}"/>
            </a:ext>
          </a:extLst>
        </xdr:cNvPr>
        <xdr:cNvSpPr/>
      </xdr:nvSpPr>
      <xdr:spPr>
        <a:xfrm>
          <a:off x="1287077" y="589911"/>
          <a:ext cx="1143001" cy="510291"/>
        </a:xfrm>
        <a:prstGeom prst="rect">
          <a:avLst/>
        </a:prstGeom>
        <a:solidFill>
          <a:srgbClr val="2AA686"/>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200" b="1">
              <a:solidFill>
                <a:schemeClr val="bg1"/>
              </a:solidFill>
              <a:latin typeface="+mn-lt"/>
              <a:ea typeface="+mn-ea"/>
              <a:cs typeface="+mn-cs"/>
            </a:rPr>
            <a:t>SOY CAN/BCAN</a:t>
          </a:r>
        </a:p>
      </xdr:txBody>
    </xdr:sp>
    <xdr:clientData/>
  </xdr:twoCellAnchor>
  <xdr:twoCellAnchor>
    <xdr:from>
      <xdr:col>0</xdr:col>
      <xdr:colOff>112861</xdr:colOff>
      <xdr:row>0</xdr:row>
      <xdr:rowOff>141676</xdr:rowOff>
    </xdr:from>
    <xdr:to>
      <xdr:col>0</xdr:col>
      <xdr:colOff>818029</xdr:colOff>
      <xdr:row>0</xdr:row>
      <xdr:rowOff>403412</xdr:rowOff>
    </xdr:to>
    <xdr:sp macro="[0]!reset_seguimiento" textlink="">
      <xdr:nvSpPr>
        <xdr:cNvPr id="9" name="6 Rectángulo">
          <a:extLst>
            <a:ext uri="{FF2B5EF4-FFF2-40B4-BE49-F238E27FC236}">
              <a16:creationId xmlns:a16="http://schemas.microsoft.com/office/drawing/2014/main" id="{60DCBD73-D0A8-4287-8C81-174EAF09CF5D}"/>
            </a:ext>
          </a:extLst>
        </xdr:cNvPr>
        <xdr:cNvSpPr/>
      </xdr:nvSpPr>
      <xdr:spPr>
        <a:xfrm>
          <a:off x="112861" y="141676"/>
          <a:ext cx="705168" cy="261736"/>
        </a:xfrm>
        <a:prstGeom prst="rect">
          <a:avLst/>
        </a:prstGeom>
        <a:solidFill>
          <a:schemeClr val="accent6">
            <a:lumMod val="75000"/>
          </a:schemeClr>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200" b="1">
              <a:solidFill>
                <a:schemeClr val="bg1"/>
              </a:solidFill>
              <a:latin typeface="+mn-lt"/>
              <a:ea typeface="+mn-ea"/>
              <a:cs typeface="+mn-cs"/>
            </a:rPr>
            <a:t>RESET</a:t>
          </a:r>
        </a:p>
      </xdr:txBody>
    </xdr:sp>
    <xdr:clientData/>
  </xdr:twoCellAnchor>
  <xdr:twoCellAnchor>
    <xdr:from>
      <xdr:col>1</xdr:col>
      <xdr:colOff>1576028</xdr:colOff>
      <xdr:row>1</xdr:row>
      <xdr:rowOff>52028</xdr:rowOff>
    </xdr:from>
    <xdr:to>
      <xdr:col>1</xdr:col>
      <xdr:colOff>3175850</xdr:colOff>
      <xdr:row>3</xdr:row>
      <xdr:rowOff>147813</xdr:rowOff>
    </xdr:to>
    <xdr:sp macro="[0]!gestionar_equipo" textlink="">
      <xdr:nvSpPr>
        <xdr:cNvPr id="10" name="6 Rectángulo">
          <a:extLst>
            <a:ext uri="{FF2B5EF4-FFF2-40B4-BE49-F238E27FC236}">
              <a16:creationId xmlns:a16="http://schemas.microsoft.com/office/drawing/2014/main" id="{760221E8-74A5-4658-B300-759C2E226F14}"/>
            </a:ext>
          </a:extLst>
        </xdr:cNvPr>
        <xdr:cNvSpPr/>
      </xdr:nvSpPr>
      <xdr:spPr>
        <a:xfrm>
          <a:off x="2573352" y="589910"/>
          <a:ext cx="1599822" cy="510403"/>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s-ES" sz="1200" b="1">
              <a:solidFill>
                <a:schemeClr val="bg1"/>
              </a:solidFill>
              <a:latin typeface="+mn-lt"/>
              <a:ea typeface="+mn-ea"/>
              <a:cs typeface="+mn-cs"/>
            </a:rPr>
            <a:t>GESTIONAR EQUIPO</a:t>
          </a:r>
        </a:p>
        <a:p>
          <a:pPr marL="0" indent="0" algn="ctr"/>
          <a:r>
            <a:rPr lang="es-ES" sz="1200" b="1">
              <a:solidFill>
                <a:schemeClr val="bg1"/>
              </a:solidFill>
              <a:latin typeface="+mn-lt"/>
              <a:ea typeface="+mn-ea"/>
              <a:cs typeface="+mn-cs"/>
            </a:rPr>
            <a:t>SELECCIONADO</a:t>
          </a:r>
        </a:p>
      </xdr:txBody>
    </xdr:sp>
    <xdr:clientData/>
  </xdr:twoCellAnchor>
  <xdr:twoCellAnchor>
    <xdr:from>
      <xdr:col>6</xdr:col>
      <xdr:colOff>10961</xdr:colOff>
      <xdr:row>1</xdr:row>
      <xdr:rowOff>3897</xdr:rowOff>
    </xdr:from>
    <xdr:to>
      <xdr:col>6</xdr:col>
      <xdr:colOff>586961</xdr:colOff>
      <xdr:row>2</xdr:row>
      <xdr:rowOff>4603</xdr:rowOff>
    </xdr:to>
    <xdr:sp macro="[0]!activar_4h" textlink="">
      <xdr:nvSpPr>
        <xdr:cNvPr id="11" name="5 Rectángulo">
          <a:extLst>
            <a:ext uri="{FF2B5EF4-FFF2-40B4-BE49-F238E27FC236}">
              <a16:creationId xmlns:a16="http://schemas.microsoft.com/office/drawing/2014/main" id="{F9B259FE-AFBC-45FE-A288-93BC6FA59389}"/>
            </a:ext>
          </a:extLst>
        </xdr:cNvPr>
        <xdr:cNvSpPr/>
      </xdr:nvSpPr>
      <xdr:spPr>
        <a:xfrm>
          <a:off x="3668561" y="299172"/>
          <a:ext cx="509325" cy="181681"/>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4h</a:t>
          </a:r>
        </a:p>
      </xdr:txBody>
    </xdr:sp>
    <xdr:clientData/>
  </xdr:twoCellAnchor>
  <xdr:twoCellAnchor>
    <xdr:from>
      <xdr:col>7</xdr:col>
      <xdr:colOff>7453</xdr:colOff>
      <xdr:row>1</xdr:row>
      <xdr:rowOff>3070</xdr:rowOff>
    </xdr:from>
    <xdr:to>
      <xdr:col>7</xdr:col>
      <xdr:colOff>583453</xdr:colOff>
      <xdr:row>2</xdr:row>
      <xdr:rowOff>3776</xdr:rowOff>
    </xdr:to>
    <xdr:sp macro="[0]!activar_24h" textlink="">
      <xdr:nvSpPr>
        <xdr:cNvPr id="12" name="7 Rectángulo">
          <a:extLst>
            <a:ext uri="{FF2B5EF4-FFF2-40B4-BE49-F238E27FC236}">
              <a16:creationId xmlns:a16="http://schemas.microsoft.com/office/drawing/2014/main" id="{CBC234B3-D1B4-4654-A9D7-B74B5F7D971C}"/>
            </a:ext>
          </a:extLst>
        </xdr:cNvPr>
        <xdr:cNvSpPr/>
      </xdr:nvSpPr>
      <xdr:spPr>
        <a:xfrm>
          <a:off x="4188928" y="298345"/>
          <a:ext cx="518850" cy="181681"/>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24h</a:t>
          </a:r>
        </a:p>
      </xdr:txBody>
    </xdr:sp>
    <xdr:clientData/>
  </xdr:twoCellAnchor>
  <xdr:twoCellAnchor>
    <xdr:from>
      <xdr:col>8</xdr:col>
      <xdr:colOff>15735</xdr:colOff>
      <xdr:row>1</xdr:row>
      <xdr:rowOff>3071</xdr:rowOff>
    </xdr:from>
    <xdr:to>
      <xdr:col>8</xdr:col>
      <xdr:colOff>591735</xdr:colOff>
      <xdr:row>2</xdr:row>
      <xdr:rowOff>3777</xdr:rowOff>
    </xdr:to>
    <xdr:sp macro="[0]!activar_48h" textlink="">
      <xdr:nvSpPr>
        <xdr:cNvPr id="13" name="8 Rectángulo">
          <a:extLst>
            <a:ext uri="{FF2B5EF4-FFF2-40B4-BE49-F238E27FC236}">
              <a16:creationId xmlns:a16="http://schemas.microsoft.com/office/drawing/2014/main" id="{1180024B-F2A6-4662-BF09-86A85181523C}"/>
            </a:ext>
          </a:extLst>
        </xdr:cNvPr>
        <xdr:cNvSpPr/>
      </xdr:nvSpPr>
      <xdr:spPr>
        <a:xfrm>
          <a:off x="4721085" y="298346"/>
          <a:ext cx="509325" cy="181681"/>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48h</a:t>
          </a:r>
        </a:p>
      </xdr:txBody>
    </xdr:sp>
    <xdr:clientData/>
  </xdr:twoCellAnchor>
  <xdr:twoCellAnchor>
    <xdr:from>
      <xdr:col>9</xdr:col>
      <xdr:colOff>10766</xdr:colOff>
      <xdr:row>1</xdr:row>
      <xdr:rowOff>2242</xdr:rowOff>
    </xdr:from>
    <xdr:to>
      <xdr:col>9</xdr:col>
      <xdr:colOff>586766</xdr:colOff>
      <xdr:row>2</xdr:row>
      <xdr:rowOff>2948</xdr:rowOff>
    </xdr:to>
    <xdr:sp macro="[0]!activar_1S" textlink="">
      <xdr:nvSpPr>
        <xdr:cNvPr id="14" name="9 Rectángulo">
          <a:extLst>
            <a:ext uri="{FF2B5EF4-FFF2-40B4-BE49-F238E27FC236}">
              <a16:creationId xmlns:a16="http://schemas.microsoft.com/office/drawing/2014/main" id="{25BF4262-591A-44F6-9186-AC2497463151}"/>
            </a:ext>
          </a:extLst>
        </xdr:cNvPr>
        <xdr:cNvSpPr/>
      </xdr:nvSpPr>
      <xdr:spPr>
        <a:xfrm>
          <a:off x="5239991" y="297517"/>
          <a:ext cx="509325" cy="181681"/>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1s</a:t>
          </a:r>
        </a:p>
      </xdr:txBody>
    </xdr:sp>
    <xdr:clientData/>
  </xdr:twoCellAnchor>
  <xdr:twoCellAnchor>
    <xdr:from>
      <xdr:col>10</xdr:col>
      <xdr:colOff>12424</xdr:colOff>
      <xdr:row>1</xdr:row>
      <xdr:rowOff>3897</xdr:rowOff>
    </xdr:from>
    <xdr:to>
      <xdr:col>10</xdr:col>
      <xdr:colOff>588424</xdr:colOff>
      <xdr:row>2</xdr:row>
      <xdr:rowOff>4603</xdr:rowOff>
    </xdr:to>
    <xdr:sp macro="[0]!activar_2S" textlink="">
      <xdr:nvSpPr>
        <xdr:cNvPr id="15" name="10 Rectángulo">
          <a:extLst>
            <a:ext uri="{FF2B5EF4-FFF2-40B4-BE49-F238E27FC236}">
              <a16:creationId xmlns:a16="http://schemas.microsoft.com/office/drawing/2014/main" id="{FAA6EF2D-84A0-4FE6-9E5D-C142E159DE75}"/>
            </a:ext>
          </a:extLst>
        </xdr:cNvPr>
        <xdr:cNvSpPr/>
      </xdr:nvSpPr>
      <xdr:spPr>
        <a:xfrm>
          <a:off x="5765524" y="299172"/>
          <a:ext cx="509325" cy="181681"/>
        </a:xfrm>
        <a:prstGeom prst="rect">
          <a:avLst/>
        </a:prstGeom>
        <a:solidFill>
          <a:srgbClr val="0070C0"/>
        </a:solidFill>
        <a:ln w="3175">
          <a:solidFill>
            <a:schemeClr val="bg1">
              <a:lumMod val="85000"/>
            </a:schemeClr>
          </a:solidFill>
        </a:ln>
        <a:effectLst>
          <a:outerShdw blurRad="50800" dist="38100" dir="5400000" algn="t" rotWithShape="0">
            <a:prstClr val="black">
              <a:alpha val="40000"/>
            </a:prstClr>
          </a:outerShdw>
        </a:effectLst>
        <a:scene3d>
          <a:camera prst="orthographicFront"/>
          <a:lightRig rig="threePt" dir="t"/>
        </a:scene3d>
        <a:sp3d>
          <a:bevelT w="254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indent="0" algn="ctr"/>
          <a:r>
            <a:rPr lang="es-ES" sz="1200" b="1">
              <a:solidFill>
                <a:schemeClr val="lt1"/>
              </a:solidFill>
              <a:latin typeface="+mn-lt"/>
              <a:ea typeface="+mn-ea"/>
              <a:cs typeface="+mn-cs"/>
            </a:rPr>
            <a:t>2s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portehre@gestycontrol.com" TargetMode="External"/><Relationship Id="rId7" Type="http://schemas.openxmlformats.org/officeDocument/2006/relationships/vmlDrawing" Target="../drawings/vmlDrawing1.vml"/><Relationship Id="rId2" Type="http://schemas.openxmlformats.org/officeDocument/2006/relationships/hyperlink" Target="mailto:afa@prinex.es" TargetMode="External"/><Relationship Id="rId1" Type="http://schemas.openxmlformats.org/officeDocument/2006/relationships/hyperlink" Target="mailto:davidc@pinosxxi.e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mailto:ICatalina@hitachiconsulting.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340A6-D62C-45F8-A458-8FFC524BAA56}">
  <sheetPr codeName="Hoja2">
    <pageSetUpPr fitToPage="1"/>
  </sheetPr>
  <dimension ref="B1:L24"/>
  <sheetViews>
    <sheetView zoomScale="70" zoomScaleNormal="70" workbookViewId="0"/>
  </sheetViews>
  <sheetFormatPr baseColWidth="10" defaultColWidth="22" defaultRowHeight="18.75" x14ac:dyDescent="0.3"/>
  <cols>
    <col min="1" max="1" width="1" style="31" customWidth="1"/>
    <col min="2" max="2" width="4" style="31" customWidth="1"/>
    <col min="3" max="3" width="20.85546875" style="31" customWidth="1"/>
    <col min="4" max="6" width="20" style="31" customWidth="1"/>
    <col min="7" max="7" width="16" style="31" customWidth="1"/>
    <col min="8" max="8" width="20.85546875" style="31" customWidth="1"/>
    <col min="9" max="11" width="20" style="31" customWidth="1"/>
    <col min="12" max="12" width="4" style="31" customWidth="1"/>
    <col min="13" max="16384" width="22" style="31"/>
  </cols>
  <sheetData>
    <row r="1" spans="2:12" ht="7.5" customHeight="1" thickBot="1" x14ac:dyDescent="0.35"/>
    <row r="2" spans="2:12" ht="19.5" thickTop="1" x14ac:dyDescent="0.3">
      <c r="B2" s="32"/>
      <c r="C2" s="33"/>
      <c r="D2" s="33"/>
      <c r="E2" s="33"/>
      <c r="F2" s="33"/>
      <c r="G2" s="33"/>
      <c r="H2" s="33"/>
      <c r="I2" s="33"/>
      <c r="J2" s="33"/>
      <c r="K2" s="33"/>
      <c r="L2" s="34"/>
    </row>
    <row r="3" spans="2:12" x14ac:dyDescent="0.3">
      <c r="B3" s="35"/>
      <c r="L3" s="36"/>
    </row>
    <row r="4" spans="2:12" x14ac:dyDescent="0.3">
      <c r="B4" s="35"/>
      <c r="L4" s="36"/>
    </row>
    <row r="5" spans="2:12" x14ac:dyDescent="0.3">
      <c r="B5" s="35"/>
      <c r="L5" s="36"/>
    </row>
    <row r="6" spans="2:12" x14ac:dyDescent="0.3">
      <c r="B6" s="35"/>
      <c r="L6" s="36"/>
    </row>
    <row r="7" spans="2:12" s="39" customFormat="1" ht="60.75" customHeight="1" x14ac:dyDescent="0.25">
      <c r="B7" s="37"/>
      <c r="C7" s="94" t="s">
        <v>1115</v>
      </c>
      <c r="D7" s="94"/>
      <c r="E7" s="94"/>
      <c r="F7" s="94"/>
      <c r="G7" s="94"/>
      <c r="H7" s="94"/>
      <c r="I7" s="94"/>
      <c r="J7" s="94"/>
      <c r="K7" s="94"/>
      <c r="L7" s="38"/>
    </row>
    <row r="8" spans="2:12" s="39" customFormat="1" ht="17.25" customHeight="1" x14ac:dyDescent="0.25">
      <c r="B8" s="37"/>
      <c r="C8" s="94"/>
      <c r="D8" s="94"/>
      <c r="E8" s="94"/>
      <c r="F8" s="94"/>
      <c r="G8" s="94"/>
      <c r="H8" s="94"/>
      <c r="I8" s="94"/>
      <c r="J8" s="94"/>
      <c r="K8" s="94"/>
      <c r="L8" s="38"/>
    </row>
    <row r="9" spans="2:12" x14ac:dyDescent="0.3">
      <c r="B9" s="35"/>
      <c r="L9" s="36"/>
    </row>
    <row r="10" spans="2:12" x14ac:dyDescent="0.3">
      <c r="B10" s="35"/>
      <c r="C10" s="40"/>
      <c r="D10" s="40"/>
      <c r="E10" s="40"/>
      <c r="F10" s="40"/>
      <c r="G10" s="40"/>
      <c r="H10" s="40"/>
      <c r="I10" s="40"/>
      <c r="J10" s="40"/>
      <c r="K10" s="40"/>
      <c r="L10" s="36"/>
    </row>
    <row r="11" spans="2:12" x14ac:dyDescent="0.3">
      <c r="B11" s="35"/>
      <c r="C11" s="95" t="s">
        <v>851</v>
      </c>
      <c r="D11" s="95"/>
      <c r="E11" s="95"/>
      <c r="F11" s="95"/>
      <c r="G11" s="95"/>
      <c r="H11" s="95"/>
      <c r="I11" s="95"/>
      <c r="J11" s="95"/>
      <c r="K11" s="95"/>
      <c r="L11" s="36"/>
    </row>
    <row r="12" spans="2:12" ht="37.5" customHeight="1" x14ac:dyDescent="0.3">
      <c r="B12" s="35"/>
      <c r="C12" s="96"/>
      <c r="D12" s="96"/>
      <c r="E12" s="96"/>
      <c r="F12" s="96"/>
      <c r="G12" s="96"/>
      <c r="H12" s="96"/>
      <c r="I12" s="96"/>
      <c r="J12" s="96"/>
      <c r="K12" s="96"/>
      <c r="L12" s="41"/>
    </row>
    <row r="13" spans="2:12" ht="11.25" customHeight="1" x14ac:dyDescent="0.3">
      <c r="B13" s="35"/>
      <c r="C13" s="40"/>
      <c r="D13" s="40"/>
      <c r="E13" s="40"/>
      <c r="F13" s="40"/>
      <c r="G13" s="40"/>
      <c r="H13" s="40"/>
      <c r="I13" s="40"/>
      <c r="J13" s="40"/>
      <c r="K13" s="40"/>
      <c r="L13" s="36"/>
    </row>
    <row r="14" spans="2:12" ht="11.25" customHeight="1" x14ac:dyDescent="0.3">
      <c r="B14" s="35"/>
      <c r="C14" s="40"/>
      <c r="D14" s="40"/>
      <c r="E14" s="40"/>
      <c r="F14" s="40"/>
      <c r="G14" s="40"/>
      <c r="H14" s="40"/>
      <c r="I14" s="40"/>
      <c r="J14" s="40"/>
      <c r="K14" s="40"/>
      <c r="L14" s="36"/>
    </row>
    <row r="15" spans="2:12" ht="11.25" customHeight="1" x14ac:dyDescent="0.3">
      <c r="B15" s="35"/>
      <c r="L15" s="36"/>
    </row>
    <row r="16" spans="2:12" ht="31.5" customHeight="1" x14ac:dyDescent="0.3">
      <c r="B16" s="35"/>
      <c r="D16" s="42" t="s">
        <v>852</v>
      </c>
      <c r="E16" s="43" t="str">
        <f ca="1">MID(CELL("nombrearchivo",I28),SEARCH("[",CELL("nombrearchivo",I28))+1,SEARCH("]",CELL("nombrearchivo",I28))-SEARCH("[",CELL("nombrearchivo",I28))-1)</f>
        <v>00. HRE_PCN_ALL_Árbol de Llamadas HRE 2020_v6.10_público.xlsm</v>
      </c>
      <c r="F16" s="44"/>
      <c r="G16" s="44"/>
      <c r="H16" s="45"/>
      <c r="I16" s="43"/>
      <c r="J16" s="46"/>
      <c r="K16" s="46"/>
      <c r="L16" s="36"/>
    </row>
    <row r="17" spans="2:12" ht="31.5" customHeight="1" x14ac:dyDescent="0.3">
      <c r="B17" s="35"/>
      <c r="D17" s="47" t="s">
        <v>853</v>
      </c>
      <c r="E17" s="48" t="s">
        <v>1140</v>
      </c>
      <c r="F17" s="44"/>
      <c r="G17" s="44"/>
      <c r="H17" s="42"/>
      <c r="I17" s="49"/>
      <c r="J17" s="46"/>
      <c r="K17" s="46"/>
      <c r="L17" s="36"/>
    </row>
    <row r="18" spans="2:12" ht="31.5" customHeight="1" x14ac:dyDescent="0.3">
      <c r="B18" s="35"/>
      <c r="D18" s="42" t="s">
        <v>854</v>
      </c>
      <c r="E18" s="43" t="s">
        <v>855</v>
      </c>
      <c r="F18" s="44"/>
      <c r="G18" s="44"/>
      <c r="H18" s="42"/>
      <c r="I18" s="49"/>
      <c r="J18" s="46"/>
      <c r="K18" s="46"/>
      <c r="L18" s="36"/>
    </row>
    <row r="19" spans="2:12" ht="31.5" customHeight="1" x14ac:dyDescent="0.3">
      <c r="B19" s="35"/>
      <c r="D19" s="42" t="s">
        <v>856</v>
      </c>
      <c r="E19" s="43" t="s">
        <v>1114</v>
      </c>
      <c r="F19" s="44"/>
      <c r="G19" s="44"/>
      <c r="H19" s="42"/>
      <c r="I19" s="49"/>
      <c r="J19" s="46"/>
      <c r="K19" s="46"/>
      <c r="L19" s="36"/>
    </row>
    <row r="20" spans="2:12" ht="31.5" customHeight="1" x14ac:dyDescent="0.3">
      <c r="B20" s="35"/>
      <c r="D20" s="42" t="s">
        <v>857</v>
      </c>
      <c r="E20" s="43" t="s">
        <v>858</v>
      </c>
      <c r="F20" s="44"/>
      <c r="G20" s="44"/>
      <c r="H20" s="42"/>
      <c r="I20" s="49"/>
      <c r="J20" s="46"/>
      <c r="K20" s="46"/>
      <c r="L20" s="36"/>
    </row>
    <row r="21" spans="2:12" ht="31.5" customHeight="1" x14ac:dyDescent="0.3">
      <c r="B21" s="35"/>
      <c r="D21" s="42" t="s">
        <v>859</v>
      </c>
      <c r="E21" s="43" t="s">
        <v>855</v>
      </c>
      <c r="F21" s="44"/>
      <c r="G21" s="44"/>
      <c r="H21" s="42"/>
      <c r="I21" s="49"/>
      <c r="J21" s="46"/>
      <c r="K21" s="46"/>
      <c r="L21" s="36"/>
    </row>
    <row r="22" spans="2:12" ht="31.5" customHeight="1" x14ac:dyDescent="0.3">
      <c r="B22" s="35"/>
      <c r="D22" s="42" t="s">
        <v>860</v>
      </c>
      <c r="E22" s="43" t="s">
        <v>861</v>
      </c>
      <c r="F22" s="44"/>
      <c r="G22" s="44"/>
      <c r="H22" s="49"/>
      <c r="I22" s="49"/>
      <c r="J22" s="49"/>
      <c r="K22" s="49"/>
      <c r="L22" s="36"/>
    </row>
    <row r="23" spans="2:12" ht="19.5" thickBot="1" x14ac:dyDescent="0.35">
      <c r="B23" s="50"/>
      <c r="C23" s="51"/>
      <c r="D23" s="51"/>
      <c r="E23" s="51"/>
      <c r="F23" s="51"/>
      <c r="G23" s="51"/>
      <c r="H23" s="51"/>
      <c r="I23" s="51"/>
      <c r="J23" s="51"/>
      <c r="K23" s="51"/>
      <c r="L23" s="52"/>
    </row>
    <row r="24" spans="2:12" ht="19.5" thickTop="1" x14ac:dyDescent="0.3"/>
  </sheetData>
  <mergeCells count="2">
    <mergeCell ref="C7:K8"/>
    <mergeCell ref="C11:K12"/>
  </mergeCells>
  <pageMargins left="0.27559055118110237" right="0.27559055118110237" top="0.39370078740157483" bottom="0.27559055118110237" header="0.31496062992125984" footer="0.15748031496062992"/>
  <pageSetup paperSize="9" scale="76" orientation="landscape" r:id="rId1"/>
  <headerFooter>
    <oddFooter>&amp;L&amp;D ; &amp;T&amp;C&amp;P de &amp;N&amp;R&amp;F</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N456"/>
  <sheetViews>
    <sheetView tabSelected="1" topLeftCell="C1" zoomScale="60" zoomScaleNormal="60" workbookViewId="0">
      <pane ySplit="2" topLeftCell="A3" activePane="bottomLeft" state="frozen"/>
      <selection activeCell="C1" sqref="C1"/>
      <selection pane="bottomLeft" activeCell="C3" sqref="C3"/>
    </sheetView>
  </sheetViews>
  <sheetFormatPr baseColWidth="10" defaultColWidth="11" defaultRowHeight="15.75" x14ac:dyDescent="0.25"/>
  <cols>
    <col min="1" max="1" width="28.28515625" style="4" hidden="1" customWidth="1"/>
    <col min="2" max="2" width="29.5703125" style="4" hidden="1" customWidth="1"/>
    <col min="3" max="3" width="25.28515625" style="4" customWidth="1"/>
    <col min="4" max="4" width="44.7109375" style="17" customWidth="1"/>
    <col min="5" max="5" width="20.28515625" style="17" customWidth="1"/>
    <col min="6" max="6" width="9.7109375" style="17" customWidth="1"/>
    <col min="7" max="7" width="15" style="17" customWidth="1"/>
    <col min="8" max="8" width="39" style="17" bestFit="1" customWidth="1"/>
    <col min="9" max="9" width="26.85546875" style="17" bestFit="1" customWidth="1"/>
    <col min="10" max="10" width="16.5703125" style="17" bestFit="1" customWidth="1"/>
    <col min="11" max="11" width="15" style="17" customWidth="1"/>
    <col min="12" max="12" width="26" style="17" customWidth="1"/>
    <col min="13" max="13" width="10.42578125" style="17" customWidth="1"/>
    <col min="14" max="14" width="20.7109375" style="17" customWidth="1"/>
    <col min="15" max="15" width="12.28515625" style="18" customWidth="1"/>
    <col min="16" max="17" width="12.28515625" style="4" customWidth="1"/>
    <col min="18" max="18" width="13.7109375" style="4" customWidth="1"/>
    <col min="19" max="19" width="12.28515625" style="19" customWidth="1"/>
    <col min="20" max="20" width="13.7109375" style="4" customWidth="1"/>
    <col min="21" max="21" width="14.85546875" style="4" customWidth="1"/>
    <col min="22" max="22" width="13.5703125" style="4" bestFit="1" customWidth="1"/>
    <col min="23" max="23" width="26" style="4" bestFit="1" customWidth="1"/>
    <col min="24" max="24" width="12" style="4" bestFit="1" customWidth="1"/>
    <col min="25" max="25" width="11" style="4" bestFit="1" customWidth="1"/>
    <col min="26" max="26" width="25.85546875" style="4" bestFit="1" customWidth="1"/>
    <col min="27" max="27" width="23.85546875" style="4" bestFit="1" customWidth="1"/>
    <col min="28" max="28" width="18" style="4" bestFit="1" customWidth="1"/>
    <col min="29" max="33" width="22" style="4" customWidth="1"/>
    <col min="34" max="40" width="25" style="4" customWidth="1"/>
    <col min="41" max="16384" width="11" style="4"/>
  </cols>
  <sheetData>
    <row r="1" spans="1:40" ht="51" customHeight="1" x14ac:dyDescent="0.25">
      <c r="A1" s="1"/>
      <c r="B1" s="1"/>
      <c r="C1" s="2"/>
      <c r="D1" s="93" t="s">
        <v>1119</v>
      </c>
      <c r="E1" s="2"/>
      <c r="F1" s="2"/>
      <c r="G1" s="2"/>
      <c r="H1" s="3"/>
      <c r="I1" s="3"/>
      <c r="J1" s="3"/>
      <c r="K1" s="98" t="s">
        <v>866</v>
      </c>
      <c r="L1" s="99"/>
      <c r="M1" s="98"/>
      <c r="N1" s="98"/>
      <c r="O1" s="98"/>
      <c r="P1" s="98"/>
      <c r="Q1" s="98"/>
      <c r="R1" s="98"/>
      <c r="S1" s="98"/>
      <c r="T1" s="98"/>
      <c r="U1" s="98"/>
      <c r="V1" s="97" t="s">
        <v>0</v>
      </c>
      <c r="W1" s="97"/>
      <c r="X1" s="97"/>
      <c r="Y1" s="97"/>
      <c r="Z1" s="97"/>
      <c r="AA1" s="97"/>
      <c r="AB1" s="97"/>
      <c r="AC1" s="103" t="s">
        <v>809</v>
      </c>
      <c r="AD1" s="104"/>
      <c r="AE1" s="104"/>
      <c r="AF1" s="104"/>
      <c r="AG1" s="104"/>
      <c r="AH1" s="105"/>
      <c r="AI1" s="100" t="s">
        <v>863</v>
      </c>
      <c r="AJ1" s="101"/>
      <c r="AK1" s="101"/>
      <c r="AL1" s="101"/>
      <c r="AM1" s="101"/>
      <c r="AN1" s="102"/>
    </row>
    <row r="2" spans="1:40" ht="33.75" customHeight="1" x14ac:dyDescent="0.25">
      <c r="A2" s="5" t="s">
        <v>1</v>
      </c>
      <c r="B2" s="5" t="s">
        <v>2</v>
      </c>
      <c r="C2" s="6" t="s">
        <v>3</v>
      </c>
      <c r="D2" s="5" t="s">
        <v>4</v>
      </c>
      <c r="E2" s="5" t="s">
        <v>5</v>
      </c>
      <c r="F2" s="5" t="s">
        <v>6</v>
      </c>
      <c r="G2" s="5" t="s">
        <v>7</v>
      </c>
      <c r="H2" s="5" t="s">
        <v>8</v>
      </c>
      <c r="I2" s="5" t="s">
        <v>9</v>
      </c>
      <c r="J2" s="5" t="s">
        <v>10</v>
      </c>
      <c r="K2" s="5" t="s">
        <v>11</v>
      </c>
      <c r="L2" s="5" t="s">
        <v>12</v>
      </c>
      <c r="M2" s="5" t="s">
        <v>13</v>
      </c>
      <c r="N2" s="5" t="s">
        <v>14</v>
      </c>
      <c r="O2" s="7" t="s">
        <v>15</v>
      </c>
      <c r="P2" s="5" t="s">
        <v>1045</v>
      </c>
      <c r="Q2" s="5" t="s">
        <v>1141</v>
      </c>
      <c r="R2" s="5" t="s">
        <v>867</v>
      </c>
      <c r="S2" s="7" t="s">
        <v>16</v>
      </c>
      <c r="T2" s="7" t="s">
        <v>17</v>
      </c>
      <c r="U2" s="7" t="s">
        <v>18</v>
      </c>
      <c r="V2" s="8" t="s">
        <v>19</v>
      </c>
      <c r="W2" s="8" t="s">
        <v>20</v>
      </c>
      <c r="X2" s="8" t="s">
        <v>21</v>
      </c>
      <c r="Y2" s="8" t="s">
        <v>22</v>
      </c>
      <c r="Z2" s="8" t="s">
        <v>23</v>
      </c>
      <c r="AA2" s="8" t="s">
        <v>24</v>
      </c>
      <c r="AB2" s="8" t="s">
        <v>25</v>
      </c>
      <c r="AC2" s="9" t="s">
        <v>805</v>
      </c>
      <c r="AD2" s="10" t="s">
        <v>806</v>
      </c>
      <c r="AE2" s="9" t="s">
        <v>807</v>
      </c>
      <c r="AF2" s="10" t="s">
        <v>808</v>
      </c>
      <c r="AG2" s="10">
        <v>2019</v>
      </c>
      <c r="AH2" s="55" t="s">
        <v>862</v>
      </c>
      <c r="AI2" s="53">
        <v>2015</v>
      </c>
      <c r="AJ2" s="53">
        <v>2016</v>
      </c>
      <c r="AK2" s="53">
        <v>2017</v>
      </c>
      <c r="AL2" s="53">
        <v>2018</v>
      </c>
      <c r="AM2" s="53">
        <v>2019</v>
      </c>
      <c r="AN2" s="11" t="s">
        <v>862</v>
      </c>
    </row>
    <row r="3" spans="1:40" ht="47.25" x14ac:dyDescent="0.25">
      <c r="A3" s="12" t="s">
        <v>1147</v>
      </c>
      <c r="B3" s="12" t="s">
        <v>1148</v>
      </c>
      <c r="C3" s="12" t="s">
        <v>1122</v>
      </c>
      <c r="D3" s="13" t="s">
        <v>26</v>
      </c>
      <c r="E3" s="13" t="s">
        <v>26</v>
      </c>
      <c r="F3" s="13">
        <v>2189</v>
      </c>
      <c r="G3" s="13" t="s">
        <v>27</v>
      </c>
      <c r="H3" s="13" t="s">
        <v>168</v>
      </c>
      <c r="I3" s="12"/>
      <c r="J3" s="13">
        <v>609923846</v>
      </c>
      <c r="K3" s="13"/>
      <c r="L3" s="13" t="s">
        <v>169</v>
      </c>
      <c r="M3" s="14" t="s">
        <v>1073</v>
      </c>
      <c r="N3" s="13" t="s">
        <v>1068</v>
      </c>
      <c r="O3" s="12">
        <v>6</v>
      </c>
      <c r="P3" s="12" t="s">
        <v>174</v>
      </c>
      <c r="Q3" s="12" t="s">
        <v>174</v>
      </c>
      <c r="R3" s="12" t="s">
        <v>867</v>
      </c>
      <c r="S3" s="14" t="s">
        <v>166</v>
      </c>
      <c r="T3" s="12" t="s">
        <v>1110</v>
      </c>
      <c r="U3" s="14" t="s">
        <v>780</v>
      </c>
      <c r="V3" s="14"/>
      <c r="W3" s="14"/>
      <c r="X3" s="12"/>
      <c r="Y3" s="12"/>
      <c r="Z3" s="14"/>
      <c r="AA3" s="12"/>
      <c r="AB3" s="15"/>
      <c r="AC3" s="16" t="s">
        <v>111</v>
      </c>
      <c r="AD3" s="16" t="s">
        <v>111</v>
      </c>
      <c r="AE3" s="16" t="s">
        <v>111</v>
      </c>
      <c r="AF3" s="16" t="s">
        <v>111</v>
      </c>
      <c r="AG3" s="16" t="s">
        <v>111</v>
      </c>
      <c r="AH3" s="14" t="s">
        <v>1149</v>
      </c>
      <c r="AI3" s="54">
        <v>0</v>
      </c>
      <c r="AJ3" s="54">
        <v>1</v>
      </c>
      <c r="AK3" s="54">
        <v>0</v>
      </c>
      <c r="AL3" s="54">
        <v>0</v>
      </c>
      <c r="AM3" s="54">
        <v>1</v>
      </c>
      <c r="AN3" s="14" t="s">
        <v>166</v>
      </c>
    </row>
    <row r="4" spans="1:40" ht="47.25" x14ac:dyDescent="0.25">
      <c r="A4" s="12" t="s">
        <v>1150</v>
      </c>
      <c r="B4" s="12" t="s">
        <v>1151</v>
      </c>
      <c r="C4" s="12" t="s">
        <v>1122</v>
      </c>
      <c r="D4" s="13" t="s">
        <v>28</v>
      </c>
      <c r="E4" s="13" t="s">
        <v>28</v>
      </c>
      <c r="F4" s="13">
        <v>2189</v>
      </c>
      <c r="G4" s="13" t="s">
        <v>29</v>
      </c>
      <c r="H4" s="13" t="s">
        <v>168</v>
      </c>
      <c r="I4" s="12"/>
      <c r="J4" s="13">
        <v>609923846</v>
      </c>
      <c r="K4" s="13"/>
      <c r="L4" s="13" t="s">
        <v>169</v>
      </c>
      <c r="M4" s="14" t="s">
        <v>1073</v>
      </c>
      <c r="N4" s="13" t="s">
        <v>1068</v>
      </c>
      <c r="O4" s="12">
        <v>6</v>
      </c>
      <c r="P4" s="12" t="s">
        <v>174</v>
      </c>
      <c r="Q4" s="12" t="s">
        <v>174</v>
      </c>
      <c r="R4" s="12" t="s">
        <v>867</v>
      </c>
      <c r="S4" s="14" t="s">
        <v>166</v>
      </c>
      <c r="T4" s="12" t="s">
        <v>1110</v>
      </c>
      <c r="U4" s="14" t="s">
        <v>780</v>
      </c>
      <c r="V4" s="14"/>
      <c r="W4" s="14"/>
      <c r="X4" s="12"/>
      <c r="Y4" s="12"/>
      <c r="Z4" s="14"/>
      <c r="AA4" s="12"/>
      <c r="AB4" s="15"/>
      <c r="AC4" s="16" t="s">
        <v>111</v>
      </c>
      <c r="AD4" s="16" t="s">
        <v>111</v>
      </c>
      <c r="AE4" s="16" t="s">
        <v>111</v>
      </c>
      <c r="AF4" s="16" t="s">
        <v>111</v>
      </c>
      <c r="AG4" s="16">
        <v>0</v>
      </c>
      <c r="AH4" s="14" t="s">
        <v>1149</v>
      </c>
      <c r="AI4" s="54">
        <v>0</v>
      </c>
      <c r="AJ4" s="54">
        <v>1</v>
      </c>
      <c r="AK4" s="54">
        <v>0</v>
      </c>
      <c r="AL4" s="54">
        <v>0</v>
      </c>
      <c r="AM4" s="54">
        <v>1</v>
      </c>
      <c r="AN4" s="14" t="s">
        <v>166</v>
      </c>
    </row>
    <row r="5" spans="1:40" ht="47.25" x14ac:dyDescent="0.25">
      <c r="A5" s="12" t="s">
        <v>1152</v>
      </c>
      <c r="B5" s="12" t="s">
        <v>1153</v>
      </c>
      <c r="C5" s="12" t="s">
        <v>1122</v>
      </c>
      <c r="D5" s="13" t="s">
        <v>30</v>
      </c>
      <c r="E5" s="13" t="s">
        <v>30</v>
      </c>
      <c r="F5" s="13">
        <v>5398</v>
      </c>
      <c r="G5" s="13" t="s">
        <v>31</v>
      </c>
      <c r="H5" s="13" t="s">
        <v>864</v>
      </c>
      <c r="I5" s="12"/>
      <c r="J5" s="13">
        <v>699722023</v>
      </c>
      <c r="K5" s="13"/>
      <c r="L5" s="13" t="s">
        <v>865</v>
      </c>
      <c r="M5" s="14" t="s">
        <v>1073</v>
      </c>
      <c r="N5" s="13" t="s">
        <v>1068</v>
      </c>
      <c r="O5" s="12">
        <v>6</v>
      </c>
      <c r="P5" s="12" t="s">
        <v>174</v>
      </c>
      <c r="Q5" s="12" t="s">
        <v>868</v>
      </c>
      <c r="R5" s="12" t="s">
        <v>174</v>
      </c>
      <c r="S5" s="14" t="s">
        <v>166</v>
      </c>
      <c r="T5" s="12" t="s">
        <v>1110</v>
      </c>
      <c r="U5" s="14" t="s">
        <v>780</v>
      </c>
      <c r="V5" s="14"/>
      <c r="W5" s="14"/>
      <c r="X5" s="12"/>
      <c r="Y5" s="12"/>
      <c r="Z5" s="14"/>
      <c r="AA5" s="12"/>
      <c r="AB5" s="15"/>
      <c r="AC5" s="16" t="s">
        <v>111</v>
      </c>
      <c r="AD5" s="16" t="s">
        <v>111</v>
      </c>
      <c r="AE5" s="16" t="s">
        <v>111</v>
      </c>
      <c r="AF5" s="16" t="s">
        <v>111</v>
      </c>
      <c r="AG5" s="16">
        <v>1</v>
      </c>
      <c r="AH5" s="14" t="s">
        <v>1149</v>
      </c>
      <c r="AI5" s="54">
        <v>0</v>
      </c>
      <c r="AJ5" s="54">
        <v>0</v>
      </c>
      <c r="AK5" s="54">
        <v>1</v>
      </c>
      <c r="AL5" s="54">
        <v>1</v>
      </c>
      <c r="AM5" s="54">
        <v>1</v>
      </c>
      <c r="AN5" s="14" t="s">
        <v>166</v>
      </c>
    </row>
    <row r="6" spans="1:40" ht="63" x14ac:dyDescent="0.25">
      <c r="A6" s="12" t="s">
        <v>1154</v>
      </c>
      <c r="B6" s="12" t="s">
        <v>1155</v>
      </c>
      <c r="C6" s="12" t="s">
        <v>1122</v>
      </c>
      <c r="D6" s="13" t="s">
        <v>32</v>
      </c>
      <c r="E6" s="13" t="s">
        <v>33</v>
      </c>
      <c r="F6" s="13">
        <v>2189</v>
      </c>
      <c r="G6" s="13" t="s">
        <v>34</v>
      </c>
      <c r="H6" s="13" t="s">
        <v>168</v>
      </c>
      <c r="I6" s="12"/>
      <c r="J6" s="13">
        <v>609923846</v>
      </c>
      <c r="K6" s="13"/>
      <c r="L6" s="13" t="s">
        <v>169</v>
      </c>
      <c r="M6" s="14" t="s">
        <v>1073</v>
      </c>
      <c r="N6" s="13" t="s">
        <v>1068</v>
      </c>
      <c r="O6" s="12">
        <v>6</v>
      </c>
      <c r="P6" s="12" t="s">
        <v>174</v>
      </c>
      <c r="Q6" s="12" t="s">
        <v>174</v>
      </c>
      <c r="R6" s="12" t="s">
        <v>867</v>
      </c>
      <c r="S6" s="14" t="s">
        <v>166</v>
      </c>
      <c r="T6" s="12" t="s">
        <v>1110</v>
      </c>
      <c r="U6" s="14" t="s">
        <v>780</v>
      </c>
      <c r="V6" s="14"/>
      <c r="W6" s="14"/>
      <c r="X6" s="12"/>
      <c r="Y6" s="12"/>
      <c r="Z6" s="14"/>
      <c r="AA6" s="12"/>
      <c r="AB6" s="15"/>
      <c r="AC6" s="16">
        <v>0</v>
      </c>
      <c r="AD6" s="16">
        <v>1</v>
      </c>
      <c r="AE6" s="16">
        <v>0</v>
      </c>
      <c r="AF6" s="16">
        <v>0</v>
      </c>
      <c r="AG6" s="16">
        <v>0</v>
      </c>
      <c r="AH6" s="14" t="s">
        <v>166</v>
      </c>
      <c r="AI6" s="54">
        <v>0</v>
      </c>
      <c r="AJ6" s="54">
        <v>1</v>
      </c>
      <c r="AK6" s="54">
        <v>0</v>
      </c>
      <c r="AL6" s="54">
        <v>0</v>
      </c>
      <c r="AM6" s="54">
        <v>1</v>
      </c>
      <c r="AN6" s="14" t="s">
        <v>166</v>
      </c>
    </row>
    <row r="7" spans="1:40" ht="63" x14ac:dyDescent="0.25">
      <c r="A7" s="12" t="s">
        <v>1156</v>
      </c>
      <c r="B7" s="12" t="s">
        <v>1157</v>
      </c>
      <c r="C7" s="12" t="s">
        <v>1122</v>
      </c>
      <c r="D7" s="13" t="s">
        <v>32</v>
      </c>
      <c r="E7" s="13" t="s">
        <v>33</v>
      </c>
      <c r="F7" s="13">
        <v>1972</v>
      </c>
      <c r="G7" s="13" t="s">
        <v>35</v>
      </c>
      <c r="H7" s="13" t="s">
        <v>165</v>
      </c>
      <c r="I7" s="12"/>
      <c r="J7" s="13">
        <v>628201951</v>
      </c>
      <c r="K7" s="13"/>
      <c r="L7" s="13" t="s">
        <v>167</v>
      </c>
      <c r="M7" s="14" t="s">
        <v>1073</v>
      </c>
      <c r="N7" s="13" t="s">
        <v>1068</v>
      </c>
      <c r="O7" s="12">
        <v>6</v>
      </c>
      <c r="P7" s="12" t="s">
        <v>174</v>
      </c>
      <c r="Q7" s="12" t="s">
        <v>868</v>
      </c>
      <c r="R7" s="12" t="s">
        <v>174</v>
      </c>
      <c r="S7" s="14" t="s">
        <v>166</v>
      </c>
      <c r="T7" s="12" t="s">
        <v>1110</v>
      </c>
      <c r="U7" s="14" t="s">
        <v>780</v>
      </c>
      <c r="V7" s="14"/>
      <c r="W7" s="14"/>
      <c r="X7" s="12"/>
      <c r="Y7" s="12"/>
      <c r="Z7" s="14"/>
      <c r="AA7" s="12"/>
      <c r="AB7" s="15"/>
      <c r="AC7" s="16">
        <v>0</v>
      </c>
      <c r="AD7" s="16">
        <v>0</v>
      </c>
      <c r="AE7" s="16">
        <v>0</v>
      </c>
      <c r="AF7" s="16">
        <v>1</v>
      </c>
      <c r="AG7" s="16">
        <v>0</v>
      </c>
      <c r="AH7" s="14" t="s">
        <v>166</v>
      </c>
      <c r="AI7" s="54">
        <v>0</v>
      </c>
      <c r="AJ7" s="54">
        <v>0</v>
      </c>
      <c r="AK7" s="54">
        <v>1</v>
      </c>
      <c r="AL7" s="54">
        <v>1</v>
      </c>
      <c r="AM7" s="54">
        <v>1</v>
      </c>
      <c r="AN7" s="14" t="s">
        <v>166</v>
      </c>
    </row>
    <row r="8" spans="1:40" ht="63" x14ac:dyDescent="0.25">
      <c r="A8" s="12" t="s">
        <v>1156</v>
      </c>
      <c r="B8" s="12" t="s">
        <v>1157</v>
      </c>
      <c r="C8" s="12" t="s">
        <v>1122</v>
      </c>
      <c r="D8" s="13" t="s">
        <v>32</v>
      </c>
      <c r="E8" s="13" t="s">
        <v>33</v>
      </c>
      <c r="F8" s="13">
        <v>5398</v>
      </c>
      <c r="G8" s="13" t="s">
        <v>35</v>
      </c>
      <c r="H8" s="13" t="s">
        <v>864</v>
      </c>
      <c r="I8" s="12"/>
      <c r="J8" s="13">
        <v>699722023</v>
      </c>
      <c r="K8" s="13"/>
      <c r="L8" s="13" t="s">
        <v>865</v>
      </c>
      <c r="M8" s="14" t="s">
        <v>1073</v>
      </c>
      <c r="N8" s="13" t="s">
        <v>1068</v>
      </c>
      <c r="O8" s="12">
        <v>6</v>
      </c>
      <c r="P8" s="12" t="s">
        <v>174</v>
      </c>
      <c r="Q8" s="12" t="s">
        <v>868</v>
      </c>
      <c r="R8" s="12" t="s">
        <v>174</v>
      </c>
      <c r="S8" s="14" t="s">
        <v>166</v>
      </c>
      <c r="T8" s="12" t="s">
        <v>1110</v>
      </c>
      <c r="U8" s="14" t="s">
        <v>780</v>
      </c>
      <c r="V8" s="14"/>
      <c r="W8" s="14"/>
      <c r="X8" s="12"/>
      <c r="Y8" s="12"/>
      <c r="Z8" s="14"/>
      <c r="AA8" s="12"/>
      <c r="AB8" s="15"/>
      <c r="AC8" s="16">
        <v>0</v>
      </c>
      <c r="AD8" s="16">
        <v>0</v>
      </c>
      <c r="AE8" s="16">
        <v>0</v>
      </c>
      <c r="AF8" s="16">
        <v>0</v>
      </c>
      <c r="AG8" s="16">
        <v>1</v>
      </c>
      <c r="AH8" s="14" t="s">
        <v>166</v>
      </c>
      <c r="AI8" s="54">
        <v>0</v>
      </c>
      <c r="AJ8" s="54">
        <v>0</v>
      </c>
      <c r="AK8" s="54">
        <v>1</v>
      </c>
      <c r="AL8" s="54">
        <v>1</v>
      </c>
      <c r="AM8" s="54">
        <v>1</v>
      </c>
      <c r="AN8" s="14" t="s">
        <v>166</v>
      </c>
    </row>
    <row r="9" spans="1:40" ht="47.25" x14ac:dyDescent="0.25">
      <c r="A9" s="12" t="s">
        <v>1158</v>
      </c>
      <c r="B9" s="12" t="s">
        <v>1159</v>
      </c>
      <c r="C9" s="12" t="s">
        <v>1123</v>
      </c>
      <c r="D9" s="13" t="s">
        <v>26</v>
      </c>
      <c r="E9" s="13" t="s">
        <v>26</v>
      </c>
      <c r="F9" s="13">
        <v>5050</v>
      </c>
      <c r="G9" s="13" t="s">
        <v>27</v>
      </c>
      <c r="H9" s="13" t="s">
        <v>803</v>
      </c>
      <c r="I9" s="12"/>
      <c r="J9" s="13">
        <v>639381013</v>
      </c>
      <c r="K9" s="13"/>
      <c r="L9" s="13" t="s">
        <v>804</v>
      </c>
      <c r="M9" s="14" t="s">
        <v>1116</v>
      </c>
      <c r="N9" s="13" t="s">
        <v>1107</v>
      </c>
      <c r="O9" s="12">
        <v>4</v>
      </c>
      <c r="P9" s="12" t="s">
        <v>174</v>
      </c>
      <c r="Q9" s="12" t="s">
        <v>174</v>
      </c>
      <c r="R9" s="12" t="s">
        <v>867</v>
      </c>
      <c r="S9" s="14" t="s">
        <v>166</v>
      </c>
      <c r="T9" s="12" t="s">
        <v>1110</v>
      </c>
      <c r="U9" s="14" t="s">
        <v>1078</v>
      </c>
      <c r="V9" s="14"/>
      <c r="W9" s="14"/>
      <c r="X9" s="12"/>
      <c r="Y9" s="12"/>
      <c r="Z9" s="14"/>
      <c r="AA9" s="12"/>
      <c r="AB9" s="15"/>
      <c r="AC9" s="16" t="s">
        <v>111</v>
      </c>
      <c r="AD9" s="16" t="s">
        <v>111</v>
      </c>
      <c r="AE9" s="16" t="s">
        <v>111</v>
      </c>
      <c r="AF9" s="16" t="s">
        <v>111</v>
      </c>
      <c r="AG9" s="16" t="s">
        <v>111</v>
      </c>
      <c r="AH9" s="14" t="s">
        <v>1149</v>
      </c>
      <c r="AI9" s="54">
        <v>0</v>
      </c>
      <c r="AJ9" s="54">
        <v>0</v>
      </c>
      <c r="AK9" s="54">
        <v>0</v>
      </c>
      <c r="AL9" s="54">
        <v>0</v>
      </c>
      <c r="AM9" s="54">
        <v>1</v>
      </c>
      <c r="AN9" s="14" t="s">
        <v>166</v>
      </c>
    </row>
    <row r="10" spans="1:40" ht="47.25" x14ac:dyDescent="0.25">
      <c r="A10" s="12" t="s">
        <v>1160</v>
      </c>
      <c r="B10" s="12" t="s">
        <v>1161</v>
      </c>
      <c r="C10" s="12" t="s">
        <v>1123</v>
      </c>
      <c r="D10" s="13" t="s">
        <v>28</v>
      </c>
      <c r="E10" s="13" t="s">
        <v>28</v>
      </c>
      <c r="F10" s="13">
        <v>1970</v>
      </c>
      <c r="G10" s="13" t="s">
        <v>29</v>
      </c>
      <c r="H10" s="13" t="s">
        <v>236</v>
      </c>
      <c r="I10" s="12"/>
      <c r="J10" s="13">
        <v>683171808</v>
      </c>
      <c r="K10" s="13"/>
      <c r="L10" s="13" t="s">
        <v>237</v>
      </c>
      <c r="M10" s="14" t="s">
        <v>1073</v>
      </c>
      <c r="N10" s="13" t="s">
        <v>1068</v>
      </c>
      <c r="O10" s="12" t="s">
        <v>36</v>
      </c>
      <c r="P10" s="12" t="s">
        <v>174</v>
      </c>
      <c r="Q10" s="12" t="s">
        <v>868</v>
      </c>
      <c r="R10" s="12" t="s">
        <v>174</v>
      </c>
      <c r="S10" s="14" t="s">
        <v>166</v>
      </c>
      <c r="T10" s="12" t="s">
        <v>1110</v>
      </c>
      <c r="U10" s="14" t="s">
        <v>780</v>
      </c>
      <c r="V10" s="14"/>
      <c r="W10" s="14"/>
      <c r="X10" s="12"/>
      <c r="Y10" s="12"/>
      <c r="Z10" s="14"/>
      <c r="AA10" s="12"/>
      <c r="AB10" s="15"/>
      <c r="AC10" s="16" t="s">
        <v>111</v>
      </c>
      <c r="AD10" s="16" t="s">
        <v>111</v>
      </c>
      <c r="AE10" s="16" t="s">
        <v>111</v>
      </c>
      <c r="AF10" s="16" t="s">
        <v>111</v>
      </c>
      <c r="AG10" s="16">
        <v>0</v>
      </c>
      <c r="AH10" s="14" t="s">
        <v>1149</v>
      </c>
      <c r="AI10" s="54">
        <v>0</v>
      </c>
      <c r="AJ10" s="54">
        <v>0</v>
      </c>
      <c r="AK10" s="54">
        <v>1</v>
      </c>
      <c r="AL10" s="54">
        <v>1</v>
      </c>
      <c r="AM10" s="54">
        <v>1</v>
      </c>
      <c r="AN10" s="14" t="s">
        <v>166</v>
      </c>
    </row>
    <row r="11" spans="1:40" ht="47.25" x14ac:dyDescent="0.25">
      <c r="A11" s="12" t="s">
        <v>1162</v>
      </c>
      <c r="B11" s="12" t="s">
        <v>1163</v>
      </c>
      <c r="C11" s="12" t="s">
        <v>1123</v>
      </c>
      <c r="D11" s="13" t="s">
        <v>30</v>
      </c>
      <c r="E11" s="13" t="s">
        <v>30</v>
      </c>
      <c r="F11" s="13">
        <v>2674</v>
      </c>
      <c r="G11" s="13" t="s">
        <v>31</v>
      </c>
      <c r="H11" s="13" t="s">
        <v>234</v>
      </c>
      <c r="I11" s="12"/>
      <c r="J11" s="13">
        <v>639764476</v>
      </c>
      <c r="K11" s="13"/>
      <c r="L11" s="13" t="s">
        <v>235</v>
      </c>
      <c r="M11" s="14" t="s">
        <v>1073</v>
      </c>
      <c r="N11" s="13" t="s">
        <v>1068</v>
      </c>
      <c r="O11" s="12" t="s">
        <v>36</v>
      </c>
      <c r="P11" s="12" t="s">
        <v>174</v>
      </c>
      <c r="Q11" s="12" t="s">
        <v>868</v>
      </c>
      <c r="R11" s="12" t="s">
        <v>174</v>
      </c>
      <c r="S11" s="14" t="s">
        <v>166</v>
      </c>
      <c r="T11" s="12" t="s">
        <v>1110</v>
      </c>
      <c r="U11" s="14" t="s">
        <v>780</v>
      </c>
      <c r="V11" s="14"/>
      <c r="W11" s="14"/>
      <c r="X11" s="12"/>
      <c r="Y11" s="12"/>
      <c r="Z11" s="14"/>
      <c r="AA11" s="12"/>
      <c r="AB11" s="15"/>
      <c r="AC11" s="16" t="s">
        <v>111</v>
      </c>
      <c r="AD11" s="16" t="s">
        <v>111</v>
      </c>
      <c r="AE11" s="16" t="s">
        <v>111</v>
      </c>
      <c r="AF11" s="16" t="s">
        <v>111</v>
      </c>
      <c r="AG11" s="16">
        <v>0</v>
      </c>
      <c r="AH11" s="14" t="s">
        <v>1149</v>
      </c>
      <c r="AI11" s="54">
        <v>0</v>
      </c>
      <c r="AJ11" s="54">
        <v>1</v>
      </c>
      <c r="AK11" s="54">
        <v>1</v>
      </c>
      <c r="AL11" s="54">
        <v>1</v>
      </c>
      <c r="AM11" s="54">
        <v>1</v>
      </c>
      <c r="AN11" s="14" t="s">
        <v>166</v>
      </c>
    </row>
    <row r="12" spans="1:40" ht="47.25" x14ac:dyDescent="0.25">
      <c r="A12" s="12" t="s">
        <v>1162</v>
      </c>
      <c r="B12" s="12" t="s">
        <v>1163</v>
      </c>
      <c r="C12" s="12" t="s">
        <v>1123</v>
      </c>
      <c r="D12" s="13" t="s">
        <v>30</v>
      </c>
      <c r="E12" s="13" t="s">
        <v>30</v>
      </c>
      <c r="F12" s="13">
        <v>442</v>
      </c>
      <c r="G12" s="13" t="s">
        <v>31</v>
      </c>
      <c r="H12" s="13" t="s">
        <v>242</v>
      </c>
      <c r="I12" s="12"/>
      <c r="J12" s="13">
        <v>650741995</v>
      </c>
      <c r="K12" s="13"/>
      <c r="L12" s="13" t="s">
        <v>243</v>
      </c>
      <c r="M12" s="14" t="s">
        <v>1074</v>
      </c>
      <c r="N12" s="13" t="s">
        <v>1069</v>
      </c>
      <c r="O12" s="12">
        <v>6</v>
      </c>
      <c r="P12" s="12" t="s">
        <v>174</v>
      </c>
      <c r="Q12" s="12" t="s">
        <v>868</v>
      </c>
      <c r="R12" s="12" t="s">
        <v>174</v>
      </c>
      <c r="S12" s="14" t="s">
        <v>166</v>
      </c>
      <c r="T12" s="12" t="s">
        <v>1110</v>
      </c>
      <c r="U12" s="14" t="s">
        <v>781</v>
      </c>
      <c r="V12" s="14"/>
      <c r="W12" s="14"/>
      <c r="X12" s="12"/>
      <c r="Y12" s="12"/>
      <c r="Z12" s="14"/>
      <c r="AA12" s="12"/>
      <c r="AB12" s="15"/>
      <c r="AC12" s="16" t="s">
        <v>111</v>
      </c>
      <c r="AD12" s="16" t="s">
        <v>111</v>
      </c>
      <c r="AE12" s="16" t="s">
        <v>111</v>
      </c>
      <c r="AF12" s="16" t="s">
        <v>111</v>
      </c>
      <c r="AG12" s="16">
        <v>0</v>
      </c>
      <c r="AH12" s="14" t="s">
        <v>1149</v>
      </c>
      <c r="AI12" s="54">
        <v>0</v>
      </c>
      <c r="AJ12" s="54">
        <v>0</v>
      </c>
      <c r="AK12" s="54">
        <v>0</v>
      </c>
      <c r="AL12" s="54">
        <v>1</v>
      </c>
      <c r="AM12" s="54">
        <v>1</v>
      </c>
      <c r="AN12" s="14" t="s">
        <v>166</v>
      </c>
    </row>
    <row r="13" spans="1:40" ht="220.5" x14ac:dyDescent="0.25">
      <c r="A13" s="12" t="s">
        <v>1164</v>
      </c>
      <c r="B13" s="12" t="s">
        <v>1165</v>
      </c>
      <c r="C13" s="12" t="s">
        <v>1123</v>
      </c>
      <c r="D13" s="13" t="s">
        <v>952</v>
      </c>
      <c r="E13" s="13" t="s">
        <v>971</v>
      </c>
      <c r="F13" s="13">
        <v>5050</v>
      </c>
      <c r="G13" s="13" t="s">
        <v>34</v>
      </c>
      <c r="H13" s="13" t="s">
        <v>803</v>
      </c>
      <c r="I13" s="12"/>
      <c r="J13" s="13">
        <v>639381013</v>
      </c>
      <c r="K13" s="13"/>
      <c r="L13" s="13" t="s">
        <v>804</v>
      </c>
      <c r="M13" s="14" t="s">
        <v>1116</v>
      </c>
      <c r="N13" s="13" t="s">
        <v>1107</v>
      </c>
      <c r="O13" s="12">
        <v>4</v>
      </c>
      <c r="P13" s="12" t="s">
        <v>174</v>
      </c>
      <c r="Q13" s="12" t="s">
        <v>174</v>
      </c>
      <c r="R13" s="12" t="s">
        <v>867</v>
      </c>
      <c r="S13" s="14" t="s">
        <v>166</v>
      </c>
      <c r="T13" s="12" t="s">
        <v>1110</v>
      </c>
      <c r="U13" s="14" t="s">
        <v>1078</v>
      </c>
      <c r="V13" s="14"/>
      <c r="W13" s="14"/>
      <c r="X13" s="12"/>
      <c r="Y13" s="12"/>
      <c r="Z13" s="14"/>
      <c r="AA13" s="12"/>
      <c r="AB13" s="15"/>
      <c r="AC13" s="16">
        <v>0</v>
      </c>
      <c r="AD13" s="16">
        <v>0</v>
      </c>
      <c r="AE13" s="16">
        <v>0</v>
      </c>
      <c r="AF13" s="16">
        <v>0</v>
      </c>
      <c r="AG13" s="16">
        <v>1</v>
      </c>
      <c r="AH13" s="14" t="s">
        <v>166</v>
      </c>
      <c r="AI13" s="54">
        <v>0</v>
      </c>
      <c r="AJ13" s="54">
        <v>0</v>
      </c>
      <c r="AK13" s="54">
        <v>0</v>
      </c>
      <c r="AL13" s="54">
        <v>0</v>
      </c>
      <c r="AM13" s="54">
        <v>1</v>
      </c>
      <c r="AN13" s="14" t="s">
        <v>166</v>
      </c>
    </row>
    <row r="14" spans="1:40" ht="141.75" x14ac:dyDescent="0.25">
      <c r="A14" s="12" t="s">
        <v>1166</v>
      </c>
      <c r="B14" s="12" t="s">
        <v>1167</v>
      </c>
      <c r="C14" s="12" t="s">
        <v>1123</v>
      </c>
      <c r="D14" s="13" t="s">
        <v>38</v>
      </c>
      <c r="E14" s="13" t="s">
        <v>39</v>
      </c>
      <c r="F14" s="13">
        <v>442</v>
      </c>
      <c r="G14" s="13" t="s">
        <v>34</v>
      </c>
      <c r="H14" s="13" t="s">
        <v>242</v>
      </c>
      <c r="I14" s="12"/>
      <c r="J14" s="13">
        <v>650741995</v>
      </c>
      <c r="K14" s="13"/>
      <c r="L14" s="13" t="s">
        <v>243</v>
      </c>
      <c r="M14" s="14" t="s">
        <v>1074</v>
      </c>
      <c r="N14" s="13" t="s">
        <v>1069</v>
      </c>
      <c r="O14" s="12">
        <v>6</v>
      </c>
      <c r="P14" s="12" t="s">
        <v>174</v>
      </c>
      <c r="Q14" s="12" t="s">
        <v>868</v>
      </c>
      <c r="R14" s="12" t="s">
        <v>174</v>
      </c>
      <c r="S14" s="14" t="s">
        <v>166</v>
      </c>
      <c r="T14" s="12" t="s">
        <v>1110</v>
      </c>
      <c r="U14" s="14" t="s">
        <v>781</v>
      </c>
      <c r="V14" s="14"/>
      <c r="W14" s="14"/>
      <c r="X14" s="12"/>
      <c r="Y14" s="12"/>
      <c r="Z14" s="14"/>
      <c r="AA14" s="12"/>
      <c r="AB14" s="15"/>
      <c r="AC14" s="16">
        <v>0</v>
      </c>
      <c r="AD14" s="16">
        <v>0</v>
      </c>
      <c r="AE14" s="16">
        <v>0</v>
      </c>
      <c r="AF14" s="16">
        <v>1</v>
      </c>
      <c r="AG14" s="16">
        <v>0</v>
      </c>
      <c r="AH14" s="14" t="s">
        <v>166</v>
      </c>
      <c r="AI14" s="54">
        <v>0</v>
      </c>
      <c r="AJ14" s="54">
        <v>0</v>
      </c>
      <c r="AK14" s="54">
        <v>0</v>
      </c>
      <c r="AL14" s="54">
        <v>1</v>
      </c>
      <c r="AM14" s="54">
        <v>1</v>
      </c>
      <c r="AN14" s="14" t="s">
        <v>166</v>
      </c>
    </row>
    <row r="15" spans="1:40" ht="141.75" x14ac:dyDescent="0.25">
      <c r="A15" s="12" t="s">
        <v>1168</v>
      </c>
      <c r="B15" s="12" t="s">
        <v>1169</v>
      </c>
      <c r="C15" s="12" t="s">
        <v>1123</v>
      </c>
      <c r="D15" s="13" t="s">
        <v>38</v>
      </c>
      <c r="E15" s="13" t="s">
        <v>39</v>
      </c>
      <c r="F15" s="13">
        <v>6136</v>
      </c>
      <c r="G15" s="13" t="s">
        <v>40</v>
      </c>
      <c r="H15" s="13" t="s">
        <v>875</v>
      </c>
      <c r="I15" s="12"/>
      <c r="J15" s="13">
        <v>659652257</v>
      </c>
      <c r="K15" s="13"/>
      <c r="L15" s="13" t="s">
        <v>876</v>
      </c>
      <c r="M15" s="14" t="s">
        <v>1073</v>
      </c>
      <c r="N15" s="13" t="s">
        <v>1068</v>
      </c>
      <c r="O15" s="12">
        <v>6</v>
      </c>
      <c r="P15" s="12" t="s">
        <v>174</v>
      </c>
      <c r="Q15" s="12" t="s">
        <v>868</v>
      </c>
      <c r="R15" s="12" t="s">
        <v>174</v>
      </c>
      <c r="S15" s="14" t="s">
        <v>166</v>
      </c>
      <c r="T15" s="12" t="s">
        <v>1110</v>
      </c>
      <c r="U15" s="14" t="s">
        <v>780</v>
      </c>
      <c r="V15" s="14"/>
      <c r="W15" s="14"/>
      <c r="X15" s="12"/>
      <c r="Y15" s="12"/>
      <c r="Z15" s="14"/>
      <c r="AA15" s="12"/>
      <c r="AB15" s="15"/>
      <c r="AC15" s="16">
        <v>0</v>
      </c>
      <c r="AD15" s="16">
        <v>0</v>
      </c>
      <c r="AE15" s="16">
        <v>0</v>
      </c>
      <c r="AF15" s="16">
        <v>0</v>
      </c>
      <c r="AG15" s="16">
        <v>1</v>
      </c>
      <c r="AH15" s="14" t="s">
        <v>166</v>
      </c>
      <c r="AI15" s="54">
        <v>0</v>
      </c>
      <c r="AJ15" s="54">
        <v>0</v>
      </c>
      <c r="AK15" s="54">
        <v>0</v>
      </c>
      <c r="AL15" s="54">
        <v>1</v>
      </c>
      <c r="AM15" s="54">
        <v>1</v>
      </c>
      <c r="AN15" s="14" t="s">
        <v>166</v>
      </c>
    </row>
    <row r="16" spans="1:40" ht="141.75" x14ac:dyDescent="0.25">
      <c r="A16" s="12" t="s">
        <v>1170</v>
      </c>
      <c r="B16" s="12" t="s">
        <v>1171</v>
      </c>
      <c r="C16" s="12" t="s">
        <v>1123</v>
      </c>
      <c r="D16" s="13" t="s">
        <v>38</v>
      </c>
      <c r="E16" s="13" t="s">
        <v>39</v>
      </c>
      <c r="F16" s="13">
        <v>3990</v>
      </c>
      <c r="G16" s="13" t="s">
        <v>41</v>
      </c>
      <c r="H16" s="13" t="s">
        <v>240</v>
      </c>
      <c r="I16" s="12"/>
      <c r="J16" s="13">
        <v>680620249</v>
      </c>
      <c r="K16" s="13"/>
      <c r="L16" s="13" t="s">
        <v>241</v>
      </c>
      <c r="M16" s="14" t="s">
        <v>1073</v>
      </c>
      <c r="N16" s="13" t="s">
        <v>1068</v>
      </c>
      <c r="O16" s="12">
        <v>6</v>
      </c>
      <c r="P16" s="12" t="s">
        <v>174</v>
      </c>
      <c r="Q16" s="12" t="s">
        <v>868</v>
      </c>
      <c r="R16" s="12" t="s">
        <v>174</v>
      </c>
      <c r="S16" s="14" t="s">
        <v>166</v>
      </c>
      <c r="T16" s="12" t="s">
        <v>1110</v>
      </c>
      <c r="U16" s="14" t="s">
        <v>780</v>
      </c>
      <c r="V16" s="14"/>
      <c r="W16" s="14"/>
      <c r="X16" s="12"/>
      <c r="Y16" s="12"/>
      <c r="Z16" s="14"/>
      <c r="AA16" s="12"/>
      <c r="AB16" s="15"/>
      <c r="AC16" s="16">
        <v>0</v>
      </c>
      <c r="AD16" s="16">
        <v>0</v>
      </c>
      <c r="AE16" s="16">
        <v>0</v>
      </c>
      <c r="AF16" s="16">
        <v>1</v>
      </c>
      <c r="AG16" s="16">
        <v>0</v>
      </c>
      <c r="AH16" s="14" t="s">
        <v>166</v>
      </c>
      <c r="AI16" s="54">
        <v>0</v>
      </c>
      <c r="AJ16" s="54">
        <v>0</v>
      </c>
      <c r="AK16" s="54">
        <v>0</v>
      </c>
      <c r="AL16" s="54">
        <v>1</v>
      </c>
      <c r="AM16" s="54">
        <v>0</v>
      </c>
      <c r="AN16" s="14" t="s">
        <v>166</v>
      </c>
    </row>
    <row r="17" spans="1:40" ht="47.25" x14ac:dyDescent="0.25">
      <c r="A17" s="12" t="s">
        <v>1172</v>
      </c>
      <c r="B17" s="12" t="s">
        <v>1173</v>
      </c>
      <c r="C17" s="12" t="s">
        <v>1123</v>
      </c>
      <c r="D17" s="13" t="s">
        <v>42</v>
      </c>
      <c r="E17" s="13" t="s">
        <v>43</v>
      </c>
      <c r="F17" s="13">
        <v>2674</v>
      </c>
      <c r="G17" s="13" t="s">
        <v>41</v>
      </c>
      <c r="H17" s="13" t="s">
        <v>234</v>
      </c>
      <c r="I17" s="12"/>
      <c r="J17" s="13">
        <v>639764476</v>
      </c>
      <c r="K17" s="13"/>
      <c r="L17" s="13" t="s">
        <v>235</v>
      </c>
      <c r="M17" s="14" t="s">
        <v>1073</v>
      </c>
      <c r="N17" s="13" t="s">
        <v>1068</v>
      </c>
      <c r="O17" s="12">
        <v>6</v>
      </c>
      <c r="P17" s="12" t="s">
        <v>174</v>
      </c>
      <c r="Q17" s="12" t="s">
        <v>868</v>
      </c>
      <c r="R17" s="12" t="s">
        <v>174</v>
      </c>
      <c r="S17" s="14" t="s">
        <v>166</v>
      </c>
      <c r="T17" s="12" t="s">
        <v>1110</v>
      </c>
      <c r="U17" s="14" t="s">
        <v>780</v>
      </c>
      <c r="V17" s="14"/>
      <c r="W17" s="14"/>
      <c r="X17" s="12"/>
      <c r="Y17" s="12"/>
      <c r="Z17" s="14"/>
      <c r="AA17" s="12"/>
      <c r="AB17" s="15"/>
      <c r="AC17" s="16">
        <v>0</v>
      </c>
      <c r="AD17" s="16">
        <v>1</v>
      </c>
      <c r="AE17" s="16">
        <v>0</v>
      </c>
      <c r="AF17" s="16">
        <v>0</v>
      </c>
      <c r="AG17" s="16">
        <v>0</v>
      </c>
      <c r="AH17" s="14" t="s">
        <v>166</v>
      </c>
      <c r="AI17" s="54">
        <v>0</v>
      </c>
      <c r="AJ17" s="54">
        <v>1</v>
      </c>
      <c r="AK17" s="54">
        <v>1</v>
      </c>
      <c r="AL17" s="54">
        <v>1</v>
      </c>
      <c r="AM17" s="54">
        <v>1</v>
      </c>
      <c r="AN17" s="14" t="s">
        <v>166</v>
      </c>
    </row>
    <row r="18" spans="1:40" ht="47.25" x14ac:dyDescent="0.25">
      <c r="A18" s="12" t="s">
        <v>1174</v>
      </c>
      <c r="B18" s="12" t="s">
        <v>1175</v>
      </c>
      <c r="C18" s="12" t="s">
        <v>1123</v>
      </c>
      <c r="D18" s="13" t="s">
        <v>951</v>
      </c>
      <c r="E18" s="13" t="s">
        <v>44</v>
      </c>
      <c r="F18" s="13">
        <v>1970</v>
      </c>
      <c r="G18" s="13" t="s">
        <v>41</v>
      </c>
      <c r="H18" s="13" t="s">
        <v>236</v>
      </c>
      <c r="I18" s="12"/>
      <c r="J18" s="13">
        <v>683171808</v>
      </c>
      <c r="K18" s="13"/>
      <c r="L18" s="13" t="s">
        <v>237</v>
      </c>
      <c r="M18" s="14" t="s">
        <v>1073</v>
      </c>
      <c r="N18" s="13" t="s">
        <v>1068</v>
      </c>
      <c r="O18" s="12">
        <v>6</v>
      </c>
      <c r="P18" s="12" t="s">
        <v>174</v>
      </c>
      <c r="Q18" s="12" t="s">
        <v>868</v>
      </c>
      <c r="R18" s="12" t="s">
        <v>174</v>
      </c>
      <c r="S18" s="14" t="s">
        <v>166</v>
      </c>
      <c r="T18" s="12" t="s">
        <v>1110</v>
      </c>
      <c r="U18" s="14" t="s">
        <v>780</v>
      </c>
      <c r="V18" s="14"/>
      <c r="W18" s="14"/>
      <c r="X18" s="12"/>
      <c r="Y18" s="12"/>
      <c r="Z18" s="14"/>
      <c r="AA18" s="12"/>
      <c r="AB18" s="15"/>
      <c r="AC18" s="16">
        <v>0</v>
      </c>
      <c r="AD18" s="16">
        <v>0</v>
      </c>
      <c r="AE18" s="16">
        <v>0</v>
      </c>
      <c r="AF18" s="16">
        <v>1</v>
      </c>
      <c r="AG18" s="16">
        <v>0</v>
      </c>
      <c r="AH18" s="14" t="s">
        <v>166</v>
      </c>
      <c r="AI18" s="54">
        <v>0</v>
      </c>
      <c r="AJ18" s="54">
        <v>0</v>
      </c>
      <c r="AK18" s="54">
        <v>1</v>
      </c>
      <c r="AL18" s="54">
        <v>1</v>
      </c>
      <c r="AM18" s="54">
        <v>1</v>
      </c>
      <c r="AN18" s="14" t="s">
        <v>166</v>
      </c>
    </row>
    <row r="19" spans="1:40" ht="141.75" x14ac:dyDescent="0.25">
      <c r="A19" s="12" t="s">
        <v>1176</v>
      </c>
      <c r="B19" s="12" t="s">
        <v>1177</v>
      </c>
      <c r="C19" s="12" t="s">
        <v>1123</v>
      </c>
      <c r="D19" s="13" t="s">
        <v>38</v>
      </c>
      <c r="E19" s="13" t="s">
        <v>39</v>
      </c>
      <c r="F19" s="13">
        <v>14</v>
      </c>
      <c r="G19" s="13" t="s">
        <v>35</v>
      </c>
      <c r="H19" s="13" t="s">
        <v>238</v>
      </c>
      <c r="I19" s="12"/>
      <c r="J19" s="13">
        <v>689622666</v>
      </c>
      <c r="K19" s="13"/>
      <c r="L19" s="13" t="s">
        <v>239</v>
      </c>
      <c r="M19" s="14" t="s">
        <v>1074</v>
      </c>
      <c r="N19" s="13" t="s">
        <v>1069</v>
      </c>
      <c r="O19" s="12">
        <v>6</v>
      </c>
      <c r="P19" s="12" t="s">
        <v>174</v>
      </c>
      <c r="Q19" s="12" t="s">
        <v>868</v>
      </c>
      <c r="R19" s="12" t="s">
        <v>174</v>
      </c>
      <c r="S19" s="14" t="s">
        <v>166</v>
      </c>
      <c r="T19" s="12" t="s">
        <v>1110</v>
      </c>
      <c r="U19" s="14" t="s">
        <v>781</v>
      </c>
      <c r="V19" s="14"/>
      <c r="W19" s="14"/>
      <c r="X19" s="12"/>
      <c r="Y19" s="12"/>
      <c r="Z19" s="14"/>
      <c r="AA19" s="12"/>
      <c r="AB19" s="15"/>
      <c r="AC19" s="16">
        <v>0</v>
      </c>
      <c r="AD19" s="16">
        <v>1</v>
      </c>
      <c r="AE19" s="16">
        <v>0</v>
      </c>
      <c r="AF19" s="16">
        <v>0</v>
      </c>
      <c r="AG19" s="16">
        <v>0</v>
      </c>
      <c r="AH19" s="14" t="s">
        <v>166</v>
      </c>
      <c r="AI19" s="54">
        <v>0</v>
      </c>
      <c r="AJ19" s="54">
        <v>1</v>
      </c>
      <c r="AK19" s="54">
        <v>0</v>
      </c>
      <c r="AL19" s="54">
        <v>0</v>
      </c>
      <c r="AM19" s="54">
        <v>0</v>
      </c>
      <c r="AN19" s="14" t="s">
        <v>166</v>
      </c>
    </row>
    <row r="20" spans="1:40" ht="47.25" x14ac:dyDescent="0.25">
      <c r="A20" s="12" t="s">
        <v>1178</v>
      </c>
      <c r="B20" s="12" t="s">
        <v>1179</v>
      </c>
      <c r="C20" s="12" t="s">
        <v>1123</v>
      </c>
      <c r="D20" s="13" t="s">
        <v>42</v>
      </c>
      <c r="E20" s="13" t="s">
        <v>43</v>
      </c>
      <c r="F20" s="13">
        <v>5453</v>
      </c>
      <c r="G20" s="13" t="s">
        <v>35</v>
      </c>
      <c r="H20" s="13" t="s">
        <v>872</v>
      </c>
      <c r="I20" s="12"/>
      <c r="J20" s="13">
        <v>689322136</v>
      </c>
      <c r="K20" s="13"/>
      <c r="L20" s="13" t="s">
        <v>846</v>
      </c>
      <c r="M20" s="14" t="s">
        <v>1073</v>
      </c>
      <c r="N20" s="13" t="s">
        <v>1068</v>
      </c>
      <c r="O20" s="12">
        <v>6</v>
      </c>
      <c r="P20" s="12" t="s">
        <v>174</v>
      </c>
      <c r="Q20" s="12" t="s">
        <v>868</v>
      </c>
      <c r="R20" s="12" t="s">
        <v>174</v>
      </c>
      <c r="S20" s="14" t="s">
        <v>166</v>
      </c>
      <c r="T20" s="12" t="s">
        <v>1110</v>
      </c>
      <c r="U20" s="14" t="s">
        <v>780</v>
      </c>
      <c r="V20" s="14"/>
      <c r="W20" s="14"/>
      <c r="X20" s="12"/>
      <c r="Y20" s="12"/>
      <c r="Z20" s="14"/>
      <c r="AA20" s="12"/>
      <c r="AB20" s="15"/>
      <c r="AC20" s="16">
        <v>0</v>
      </c>
      <c r="AD20" s="16">
        <v>0</v>
      </c>
      <c r="AE20" s="16">
        <v>0</v>
      </c>
      <c r="AF20" s="16">
        <v>0</v>
      </c>
      <c r="AG20" s="16">
        <v>1</v>
      </c>
      <c r="AH20" s="14" t="s">
        <v>166</v>
      </c>
      <c r="AI20" s="54">
        <v>0</v>
      </c>
      <c r="AJ20" s="54">
        <v>0</v>
      </c>
      <c r="AK20" s="54">
        <v>0</v>
      </c>
      <c r="AL20" s="54">
        <v>0</v>
      </c>
      <c r="AM20" s="54">
        <v>1</v>
      </c>
      <c r="AN20" s="14" t="s">
        <v>166</v>
      </c>
    </row>
    <row r="21" spans="1:40" ht="47.25" x14ac:dyDescent="0.25">
      <c r="A21" s="12" t="s">
        <v>1178</v>
      </c>
      <c r="B21" s="12" t="s">
        <v>1179</v>
      </c>
      <c r="C21" s="12" t="s">
        <v>1123</v>
      </c>
      <c r="D21" s="13" t="s">
        <v>42</v>
      </c>
      <c r="E21" s="13" t="s">
        <v>43</v>
      </c>
      <c r="F21" s="13">
        <v>5668</v>
      </c>
      <c r="G21" s="13" t="s">
        <v>35</v>
      </c>
      <c r="H21" s="13" t="s">
        <v>873</v>
      </c>
      <c r="I21" s="12"/>
      <c r="J21" s="13">
        <v>690956015</v>
      </c>
      <c r="K21" s="13"/>
      <c r="L21" s="13" t="s">
        <v>874</v>
      </c>
      <c r="M21" s="14" t="s">
        <v>1073</v>
      </c>
      <c r="N21" s="13" t="s">
        <v>1068</v>
      </c>
      <c r="O21" s="12">
        <v>6</v>
      </c>
      <c r="P21" s="12" t="s">
        <v>174</v>
      </c>
      <c r="Q21" s="12" t="s">
        <v>868</v>
      </c>
      <c r="R21" s="12" t="s">
        <v>174</v>
      </c>
      <c r="S21" s="14" t="s">
        <v>166</v>
      </c>
      <c r="T21" s="12" t="s">
        <v>1110</v>
      </c>
      <c r="U21" s="14" t="s">
        <v>780</v>
      </c>
      <c r="V21" s="14"/>
      <c r="W21" s="14"/>
      <c r="X21" s="12"/>
      <c r="Y21" s="12"/>
      <c r="Z21" s="14"/>
      <c r="AA21" s="12"/>
      <c r="AB21" s="15"/>
      <c r="AC21" s="16">
        <v>0</v>
      </c>
      <c r="AD21" s="16">
        <v>0</v>
      </c>
      <c r="AE21" s="16">
        <v>0</v>
      </c>
      <c r="AF21" s="16">
        <v>0</v>
      </c>
      <c r="AG21" s="16">
        <v>1</v>
      </c>
      <c r="AH21" s="14" t="s">
        <v>166</v>
      </c>
      <c r="AI21" s="54">
        <v>0</v>
      </c>
      <c r="AJ21" s="54">
        <v>0</v>
      </c>
      <c r="AK21" s="54">
        <v>0</v>
      </c>
      <c r="AL21" s="54">
        <v>1</v>
      </c>
      <c r="AM21" s="54">
        <v>1</v>
      </c>
      <c r="AN21" s="14" t="s">
        <v>166</v>
      </c>
    </row>
    <row r="22" spans="1:40" ht="47.25" x14ac:dyDescent="0.25">
      <c r="A22" s="12" t="s">
        <v>1178</v>
      </c>
      <c r="B22" s="12" t="s">
        <v>1179</v>
      </c>
      <c r="C22" s="12" t="s">
        <v>1123</v>
      </c>
      <c r="D22" s="13" t="s">
        <v>42</v>
      </c>
      <c r="E22" s="13" t="s">
        <v>43</v>
      </c>
      <c r="F22" s="13">
        <v>2621</v>
      </c>
      <c r="G22" s="13" t="s">
        <v>35</v>
      </c>
      <c r="H22" s="13" t="s">
        <v>230</v>
      </c>
      <c r="I22" s="12"/>
      <c r="J22" s="13">
        <v>680578119</v>
      </c>
      <c r="K22" s="13"/>
      <c r="L22" s="13" t="s">
        <v>231</v>
      </c>
      <c r="M22" s="14" t="s">
        <v>1073</v>
      </c>
      <c r="N22" s="13" t="s">
        <v>1068</v>
      </c>
      <c r="O22" s="12">
        <v>6</v>
      </c>
      <c r="P22" s="12" t="s">
        <v>174</v>
      </c>
      <c r="Q22" s="12" t="s">
        <v>868</v>
      </c>
      <c r="R22" s="12" t="s">
        <v>174</v>
      </c>
      <c r="S22" s="14" t="s">
        <v>166</v>
      </c>
      <c r="T22" s="12" t="s">
        <v>174</v>
      </c>
      <c r="U22" s="14" t="s">
        <v>780</v>
      </c>
      <c r="V22" s="14"/>
      <c r="W22" s="14"/>
      <c r="X22" s="12"/>
      <c r="Y22" s="12"/>
      <c r="Z22" s="14"/>
      <c r="AA22" s="12"/>
      <c r="AB22" s="15"/>
      <c r="AC22" s="16">
        <v>0</v>
      </c>
      <c r="AD22" s="16">
        <v>0</v>
      </c>
      <c r="AE22" s="16">
        <v>0</v>
      </c>
      <c r="AF22" s="16">
        <v>1</v>
      </c>
      <c r="AG22" s="16">
        <v>0</v>
      </c>
      <c r="AH22" s="14" t="s">
        <v>166</v>
      </c>
      <c r="AI22" s="54">
        <v>0</v>
      </c>
      <c r="AJ22" s="54">
        <v>0</v>
      </c>
      <c r="AK22" s="54">
        <v>0</v>
      </c>
      <c r="AL22" s="54">
        <v>1</v>
      </c>
      <c r="AM22" s="54">
        <v>0</v>
      </c>
      <c r="AN22" s="14" t="s">
        <v>166</v>
      </c>
    </row>
    <row r="23" spans="1:40" ht="47.25" x14ac:dyDescent="0.25">
      <c r="A23" s="12" t="s">
        <v>1178</v>
      </c>
      <c r="B23" s="12" t="s">
        <v>1179</v>
      </c>
      <c r="C23" s="12" t="s">
        <v>1123</v>
      </c>
      <c r="D23" s="13" t="s">
        <v>42</v>
      </c>
      <c r="E23" s="13" t="s">
        <v>43</v>
      </c>
      <c r="F23" s="13">
        <v>3687</v>
      </c>
      <c r="G23" s="13" t="s">
        <v>35</v>
      </c>
      <c r="H23" s="13" t="s">
        <v>232</v>
      </c>
      <c r="I23" s="12"/>
      <c r="J23" s="13">
        <v>676732594</v>
      </c>
      <c r="K23" s="13"/>
      <c r="L23" s="13" t="s">
        <v>233</v>
      </c>
      <c r="M23" s="14" t="s">
        <v>1073</v>
      </c>
      <c r="N23" s="13" t="s">
        <v>1068</v>
      </c>
      <c r="O23" s="12">
        <v>6</v>
      </c>
      <c r="P23" s="12" t="s">
        <v>174</v>
      </c>
      <c r="Q23" s="12" t="s">
        <v>868</v>
      </c>
      <c r="R23" s="12" t="s">
        <v>174</v>
      </c>
      <c r="S23" s="14" t="s">
        <v>166</v>
      </c>
      <c r="T23" s="12" t="s">
        <v>174</v>
      </c>
      <c r="U23" s="14" t="s">
        <v>780</v>
      </c>
      <c r="V23" s="14"/>
      <c r="W23" s="14"/>
      <c r="X23" s="12"/>
      <c r="Y23" s="12"/>
      <c r="Z23" s="14"/>
      <c r="AA23" s="12"/>
      <c r="AB23" s="15"/>
      <c r="AC23" s="16">
        <v>0</v>
      </c>
      <c r="AD23" s="16">
        <v>0</v>
      </c>
      <c r="AE23" s="16">
        <v>0</v>
      </c>
      <c r="AF23" s="16">
        <v>1</v>
      </c>
      <c r="AG23" s="16">
        <v>0</v>
      </c>
      <c r="AH23" s="14" t="s">
        <v>166</v>
      </c>
      <c r="AI23" s="54">
        <v>0</v>
      </c>
      <c r="AJ23" s="54">
        <v>0</v>
      </c>
      <c r="AK23" s="54">
        <v>0</v>
      </c>
      <c r="AL23" s="54">
        <v>1</v>
      </c>
      <c r="AM23" s="54">
        <v>0</v>
      </c>
      <c r="AN23" s="14" t="s">
        <v>166</v>
      </c>
    </row>
    <row r="24" spans="1:40" ht="47.25" x14ac:dyDescent="0.25">
      <c r="A24" s="12" t="s">
        <v>1180</v>
      </c>
      <c r="B24" s="12" t="s">
        <v>1181</v>
      </c>
      <c r="C24" s="12" t="s">
        <v>1123</v>
      </c>
      <c r="D24" s="13" t="s">
        <v>951</v>
      </c>
      <c r="E24" s="13" t="s">
        <v>44</v>
      </c>
      <c r="F24" s="13">
        <v>5482</v>
      </c>
      <c r="G24" s="13" t="s">
        <v>35</v>
      </c>
      <c r="H24" s="13" t="s">
        <v>870</v>
      </c>
      <c r="I24" s="12"/>
      <c r="J24" s="13">
        <v>686084180</v>
      </c>
      <c r="K24" s="13"/>
      <c r="L24" s="13" t="s">
        <v>871</v>
      </c>
      <c r="M24" s="14" t="s">
        <v>1073</v>
      </c>
      <c r="N24" s="13" t="s">
        <v>1068</v>
      </c>
      <c r="O24" s="12">
        <v>6</v>
      </c>
      <c r="P24" s="12" t="s">
        <v>174</v>
      </c>
      <c r="Q24" s="12" t="s">
        <v>868</v>
      </c>
      <c r="R24" s="12" t="s">
        <v>174</v>
      </c>
      <c r="S24" s="14" t="s">
        <v>166</v>
      </c>
      <c r="T24" s="12" t="s">
        <v>1110</v>
      </c>
      <c r="U24" s="14" t="s">
        <v>780</v>
      </c>
      <c r="V24" s="14"/>
      <c r="W24" s="14"/>
      <c r="X24" s="12"/>
      <c r="Y24" s="12"/>
      <c r="Z24" s="14"/>
      <c r="AA24" s="12"/>
      <c r="AB24" s="15"/>
      <c r="AC24" s="16">
        <v>0</v>
      </c>
      <c r="AD24" s="16">
        <v>0</v>
      </c>
      <c r="AE24" s="16">
        <v>0</v>
      </c>
      <c r="AF24" s="16">
        <v>0</v>
      </c>
      <c r="AG24" s="16">
        <v>0</v>
      </c>
      <c r="AH24" s="14" t="s">
        <v>174</v>
      </c>
      <c r="AI24" s="54">
        <v>0</v>
      </c>
      <c r="AJ24" s="54">
        <v>0</v>
      </c>
      <c r="AK24" s="54">
        <v>0</v>
      </c>
      <c r="AL24" s="54">
        <v>1</v>
      </c>
      <c r="AM24" s="54">
        <v>0</v>
      </c>
      <c r="AN24" s="14" t="s">
        <v>166</v>
      </c>
    </row>
    <row r="25" spans="1:40" ht="141.75" x14ac:dyDescent="0.25">
      <c r="A25" s="12" t="s">
        <v>1182</v>
      </c>
      <c r="B25" s="12" t="s">
        <v>1183</v>
      </c>
      <c r="C25" s="12" t="s">
        <v>1123</v>
      </c>
      <c r="D25" s="13" t="s">
        <v>38</v>
      </c>
      <c r="E25" s="13" t="s">
        <v>39</v>
      </c>
      <c r="F25" s="13" t="s">
        <v>47</v>
      </c>
      <c r="G25" s="13" t="s">
        <v>48</v>
      </c>
      <c r="H25" s="13" t="s">
        <v>49</v>
      </c>
      <c r="I25" s="12"/>
      <c r="J25" s="13">
        <v>911853137</v>
      </c>
      <c r="K25" s="13"/>
      <c r="L25" s="13" t="s">
        <v>50</v>
      </c>
      <c r="M25" s="14"/>
      <c r="N25" s="13"/>
      <c r="O25" s="12"/>
      <c r="P25" s="12" t="s">
        <v>1184</v>
      </c>
      <c r="Q25" s="12" t="s">
        <v>1184</v>
      </c>
      <c r="R25" s="12" t="s">
        <v>1184</v>
      </c>
      <c r="S25" s="14"/>
      <c r="T25" s="12"/>
      <c r="U25" s="14"/>
      <c r="V25" s="14"/>
      <c r="W25" s="14"/>
      <c r="X25" s="12"/>
      <c r="Y25" s="12"/>
      <c r="Z25" s="14"/>
      <c r="AA25" s="12"/>
      <c r="AB25" s="15"/>
      <c r="AC25" s="16" t="s">
        <v>111</v>
      </c>
      <c r="AD25" s="16" t="s">
        <v>111</v>
      </c>
      <c r="AE25" s="16" t="s">
        <v>111</v>
      </c>
      <c r="AF25" s="16" t="s">
        <v>111</v>
      </c>
      <c r="AG25" s="16" t="s">
        <v>111</v>
      </c>
      <c r="AH25" s="14" t="s">
        <v>1149</v>
      </c>
      <c r="AI25" s="54">
        <v>0</v>
      </c>
      <c r="AJ25" s="54">
        <v>0</v>
      </c>
      <c r="AK25" s="54">
        <v>0</v>
      </c>
      <c r="AL25" s="54">
        <v>0</v>
      </c>
      <c r="AM25" s="54">
        <v>0</v>
      </c>
      <c r="AN25" s="14" t="s">
        <v>1149</v>
      </c>
    </row>
    <row r="26" spans="1:40" ht="141.75" x14ac:dyDescent="0.25">
      <c r="A26" s="12" t="s">
        <v>1182</v>
      </c>
      <c r="B26" s="12" t="s">
        <v>1183</v>
      </c>
      <c r="C26" s="12" t="s">
        <v>1123</v>
      </c>
      <c r="D26" s="13" t="s">
        <v>38</v>
      </c>
      <c r="E26" s="13" t="s">
        <v>39</v>
      </c>
      <c r="F26" s="13" t="s">
        <v>47</v>
      </c>
      <c r="G26" s="13" t="s">
        <v>48</v>
      </c>
      <c r="H26" s="13" t="s">
        <v>51</v>
      </c>
      <c r="I26" s="12"/>
      <c r="J26" s="13">
        <v>912793496</v>
      </c>
      <c r="K26" s="13"/>
      <c r="L26" s="13" t="s">
        <v>52</v>
      </c>
      <c r="M26" s="14"/>
      <c r="N26" s="13"/>
      <c r="O26" s="12"/>
      <c r="P26" s="12" t="s">
        <v>1184</v>
      </c>
      <c r="Q26" s="12" t="s">
        <v>1184</v>
      </c>
      <c r="R26" s="12" t="s">
        <v>1184</v>
      </c>
      <c r="S26" s="14"/>
      <c r="T26" s="12"/>
      <c r="U26" s="14"/>
      <c r="V26" s="14"/>
      <c r="W26" s="14"/>
      <c r="X26" s="12"/>
      <c r="Y26" s="12"/>
      <c r="Z26" s="14"/>
      <c r="AA26" s="12"/>
      <c r="AB26" s="15"/>
      <c r="AC26" s="16" t="s">
        <v>111</v>
      </c>
      <c r="AD26" s="16" t="s">
        <v>111</v>
      </c>
      <c r="AE26" s="16" t="s">
        <v>111</v>
      </c>
      <c r="AF26" s="16" t="s">
        <v>111</v>
      </c>
      <c r="AG26" s="16" t="s">
        <v>111</v>
      </c>
      <c r="AH26" s="14" t="s">
        <v>1149</v>
      </c>
      <c r="AI26" s="54">
        <v>0</v>
      </c>
      <c r="AJ26" s="54">
        <v>0</v>
      </c>
      <c r="AK26" s="54">
        <v>0</v>
      </c>
      <c r="AL26" s="54">
        <v>0</v>
      </c>
      <c r="AM26" s="54">
        <v>0</v>
      </c>
      <c r="AN26" s="14" t="s">
        <v>1149</v>
      </c>
    </row>
    <row r="27" spans="1:40" ht="47.25" x14ac:dyDescent="0.25">
      <c r="A27" s="12" t="s">
        <v>1185</v>
      </c>
      <c r="B27" s="12" t="s">
        <v>1186</v>
      </c>
      <c r="C27" s="12" t="s">
        <v>1125</v>
      </c>
      <c r="D27" s="13" t="s">
        <v>26</v>
      </c>
      <c r="E27" s="13" t="s">
        <v>26</v>
      </c>
      <c r="F27" s="13">
        <v>2532</v>
      </c>
      <c r="G27" s="13" t="s">
        <v>27</v>
      </c>
      <c r="H27" s="13" t="s">
        <v>245</v>
      </c>
      <c r="I27" s="12"/>
      <c r="J27" s="13">
        <v>607377248</v>
      </c>
      <c r="K27" s="13"/>
      <c r="L27" s="13" t="s">
        <v>246</v>
      </c>
      <c r="M27" s="14" t="s">
        <v>1073</v>
      </c>
      <c r="N27" s="13" t="s">
        <v>1068</v>
      </c>
      <c r="O27" s="12" t="s">
        <v>53</v>
      </c>
      <c r="P27" s="12" t="s">
        <v>174</v>
      </c>
      <c r="Q27" s="12" t="s">
        <v>174</v>
      </c>
      <c r="R27" s="12" t="s">
        <v>867</v>
      </c>
      <c r="S27" s="14" t="s">
        <v>166</v>
      </c>
      <c r="T27" s="12" t="s">
        <v>1110</v>
      </c>
      <c r="U27" s="14" t="s">
        <v>780</v>
      </c>
      <c r="V27" s="14"/>
      <c r="W27" s="14"/>
      <c r="X27" s="12"/>
      <c r="Y27" s="12"/>
      <c r="Z27" s="14"/>
      <c r="AA27" s="12"/>
      <c r="AB27" s="15"/>
      <c r="AC27" s="16" t="s">
        <v>111</v>
      </c>
      <c r="AD27" s="16" t="s">
        <v>111</v>
      </c>
      <c r="AE27" s="16" t="s">
        <v>111</v>
      </c>
      <c r="AF27" s="16" t="s">
        <v>111</v>
      </c>
      <c r="AG27" s="16" t="s">
        <v>111</v>
      </c>
      <c r="AH27" s="14" t="s">
        <v>1149</v>
      </c>
      <c r="AI27" s="54">
        <v>0</v>
      </c>
      <c r="AJ27" s="54">
        <v>0</v>
      </c>
      <c r="AK27" s="54">
        <v>0</v>
      </c>
      <c r="AL27" s="54">
        <v>0</v>
      </c>
      <c r="AM27" s="54">
        <v>1</v>
      </c>
      <c r="AN27" s="14" t="s">
        <v>166</v>
      </c>
    </row>
    <row r="28" spans="1:40" ht="47.25" x14ac:dyDescent="0.25">
      <c r="A28" s="12" t="s">
        <v>1187</v>
      </c>
      <c r="B28" s="12" t="s">
        <v>1188</v>
      </c>
      <c r="C28" s="12" t="s">
        <v>1125</v>
      </c>
      <c r="D28" s="13" t="s">
        <v>28</v>
      </c>
      <c r="E28" s="13" t="s">
        <v>28</v>
      </c>
      <c r="F28" s="13">
        <v>3000</v>
      </c>
      <c r="G28" s="13" t="s">
        <v>29</v>
      </c>
      <c r="H28" s="13" t="s">
        <v>244</v>
      </c>
      <c r="I28" s="12"/>
      <c r="J28" s="13">
        <v>676439403</v>
      </c>
      <c r="K28" s="13"/>
      <c r="L28" s="13" t="s">
        <v>819</v>
      </c>
      <c r="M28" s="14" t="s">
        <v>1073</v>
      </c>
      <c r="N28" s="13" t="s">
        <v>1068</v>
      </c>
      <c r="O28" s="12" t="s">
        <v>53</v>
      </c>
      <c r="P28" s="12" t="s">
        <v>174</v>
      </c>
      <c r="Q28" s="12" t="s">
        <v>868</v>
      </c>
      <c r="R28" s="12" t="s">
        <v>174</v>
      </c>
      <c r="S28" s="14" t="s">
        <v>166</v>
      </c>
      <c r="T28" s="12" t="s">
        <v>1110</v>
      </c>
      <c r="U28" s="14" t="s">
        <v>780</v>
      </c>
      <c r="V28" s="14"/>
      <c r="W28" s="14"/>
      <c r="X28" s="12"/>
      <c r="Y28" s="12"/>
      <c r="Z28" s="14"/>
      <c r="AA28" s="12"/>
      <c r="AB28" s="15"/>
      <c r="AC28" s="16" t="s">
        <v>111</v>
      </c>
      <c r="AD28" s="16" t="s">
        <v>111</v>
      </c>
      <c r="AE28" s="16" t="s">
        <v>111</v>
      </c>
      <c r="AF28" s="16" t="s">
        <v>111</v>
      </c>
      <c r="AG28" s="16">
        <v>0</v>
      </c>
      <c r="AH28" s="14" t="s">
        <v>1149</v>
      </c>
      <c r="AI28" s="54">
        <v>0</v>
      </c>
      <c r="AJ28" s="54">
        <v>1</v>
      </c>
      <c r="AK28" s="54">
        <v>1</v>
      </c>
      <c r="AL28" s="54">
        <v>1</v>
      </c>
      <c r="AM28" s="54">
        <v>1</v>
      </c>
      <c r="AN28" s="14" t="s">
        <v>166</v>
      </c>
    </row>
    <row r="29" spans="1:40" ht="47.25" x14ac:dyDescent="0.25">
      <c r="A29" s="12" t="s">
        <v>1189</v>
      </c>
      <c r="B29" s="12" t="s">
        <v>1190</v>
      </c>
      <c r="C29" s="12" t="s">
        <v>1125</v>
      </c>
      <c r="D29" s="13" t="s">
        <v>30</v>
      </c>
      <c r="E29" s="13" t="s">
        <v>30</v>
      </c>
      <c r="F29" s="13">
        <v>1842</v>
      </c>
      <c r="G29" s="13" t="s">
        <v>31</v>
      </c>
      <c r="H29" s="13" t="s">
        <v>256</v>
      </c>
      <c r="I29" s="12"/>
      <c r="J29" s="13">
        <v>683461664</v>
      </c>
      <c r="K29" s="13"/>
      <c r="L29" s="13" t="s">
        <v>257</v>
      </c>
      <c r="M29" s="14" t="s">
        <v>1073</v>
      </c>
      <c r="N29" s="13" t="s">
        <v>1068</v>
      </c>
      <c r="O29" s="12" t="s">
        <v>53</v>
      </c>
      <c r="P29" s="12" t="s">
        <v>174</v>
      </c>
      <c r="Q29" s="12" t="s">
        <v>868</v>
      </c>
      <c r="R29" s="12" t="s">
        <v>174</v>
      </c>
      <c r="S29" s="14" t="s">
        <v>166</v>
      </c>
      <c r="T29" s="12" t="s">
        <v>1110</v>
      </c>
      <c r="U29" s="14" t="s">
        <v>780</v>
      </c>
      <c r="V29" s="14"/>
      <c r="W29" s="14"/>
      <c r="X29" s="12"/>
      <c r="Y29" s="12"/>
      <c r="Z29" s="14"/>
      <c r="AA29" s="12"/>
      <c r="AB29" s="15"/>
      <c r="AC29" s="16" t="s">
        <v>111</v>
      </c>
      <c r="AD29" s="16" t="s">
        <v>111</v>
      </c>
      <c r="AE29" s="16" t="s">
        <v>111</v>
      </c>
      <c r="AF29" s="16" t="s">
        <v>111</v>
      </c>
      <c r="AG29" s="16">
        <v>0</v>
      </c>
      <c r="AH29" s="14" t="s">
        <v>1149</v>
      </c>
      <c r="AI29" s="54">
        <v>0</v>
      </c>
      <c r="AJ29" s="54">
        <v>0</v>
      </c>
      <c r="AK29" s="54">
        <v>0</v>
      </c>
      <c r="AL29" s="54">
        <v>1</v>
      </c>
      <c r="AM29" s="54">
        <v>1</v>
      </c>
      <c r="AN29" s="14" t="s">
        <v>166</v>
      </c>
    </row>
    <row r="30" spans="1:40" ht="110.25" x14ac:dyDescent="0.25">
      <c r="A30" s="12" t="s">
        <v>1191</v>
      </c>
      <c r="B30" s="12" t="s">
        <v>1192</v>
      </c>
      <c r="C30" s="12" t="s">
        <v>1125</v>
      </c>
      <c r="D30" s="13" t="s">
        <v>56</v>
      </c>
      <c r="E30" s="13" t="s">
        <v>54</v>
      </c>
      <c r="F30" s="13">
        <v>281</v>
      </c>
      <c r="G30" s="13" t="s">
        <v>55</v>
      </c>
      <c r="H30" s="13" t="s">
        <v>260</v>
      </c>
      <c r="I30" s="12"/>
      <c r="J30" s="13">
        <v>669917128</v>
      </c>
      <c r="K30" s="13"/>
      <c r="L30" s="13" t="s">
        <v>261</v>
      </c>
      <c r="M30" s="14" t="s">
        <v>1074</v>
      </c>
      <c r="N30" s="13" t="s">
        <v>1069</v>
      </c>
      <c r="O30" s="12" t="s">
        <v>53</v>
      </c>
      <c r="P30" s="12" t="s">
        <v>174</v>
      </c>
      <c r="Q30" s="12" t="s">
        <v>868</v>
      </c>
      <c r="R30" s="12" t="s">
        <v>174</v>
      </c>
      <c r="S30" s="14" t="s">
        <v>166</v>
      </c>
      <c r="T30" s="12" t="s">
        <v>1110</v>
      </c>
      <c r="U30" s="14" t="s">
        <v>781</v>
      </c>
      <c r="V30" s="14"/>
      <c r="W30" s="14"/>
      <c r="X30" s="12"/>
      <c r="Y30" s="12"/>
      <c r="Z30" s="14"/>
      <c r="AA30" s="12"/>
      <c r="AB30" s="15"/>
      <c r="AC30" s="16">
        <v>0</v>
      </c>
      <c r="AD30" s="16">
        <v>0</v>
      </c>
      <c r="AE30" s="16">
        <v>1</v>
      </c>
      <c r="AF30" s="16">
        <v>0</v>
      </c>
      <c r="AG30" s="16">
        <v>0</v>
      </c>
      <c r="AH30" s="14" t="s">
        <v>166</v>
      </c>
      <c r="AI30" s="54">
        <v>0</v>
      </c>
      <c r="AJ30" s="54">
        <v>1</v>
      </c>
      <c r="AK30" s="54">
        <v>0</v>
      </c>
      <c r="AL30" s="54">
        <v>0</v>
      </c>
      <c r="AM30" s="54">
        <v>0</v>
      </c>
      <c r="AN30" s="14" t="s">
        <v>166</v>
      </c>
    </row>
    <row r="31" spans="1:40" ht="141.75" x14ac:dyDescent="0.25">
      <c r="A31" s="12" t="s">
        <v>1193</v>
      </c>
      <c r="B31" s="12" t="s">
        <v>1194</v>
      </c>
      <c r="C31" s="12" t="s">
        <v>1125</v>
      </c>
      <c r="D31" s="13" t="s">
        <v>802</v>
      </c>
      <c r="E31" s="13" t="s">
        <v>54</v>
      </c>
      <c r="F31" s="13">
        <v>1530</v>
      </c>
      <c r="G31" s="13" t="s">
        <v>55</v>
      </c>
      <c r="H31" s="13" t="s">
        <v>264</v>
      </c>
      <c r="I31" s="12"/>
      <c r="J31" s="13">
        <v>618969116</v>
      </c>
      <c r="K31" s="13"/>
      <c r="L31" s="13" t="s">
        <v>265</v>
      </c>
      <c r="M31" s="14" t="s">
        <v>1073</v>
      </c>
      <c r="N31" s="13" t="s">
        <v>1068</v>
      </c>
      <c r="O31" s="12" t="s">
        <v>53</v>
      </c>
      <c r="P31" s="12" t="s">
        <v>174</v>
      </c>
      <c r="Q31" s="12" t="s">
        <v>868</v>
      </c>
      <c r="R31" s="12" t="s">
        <v>174</v>
      </c>
      <c r="S31" s="14" t="s">
        <v>166</v>
      </c>
      <c r="T31" s="12" t="s">
        <v>1110</v>
      </c>
      <c r="U31" s="14" t="s">
        <v>780</v>
      </c>
      <c r="V31" s="14"/>
      <c r="W31" s="14"/>
      <c r="X31" s="12"/>
      <c r="Y31" s="12"/>
      <c r="Z31" s="14"/>
      <c r="AA31" s="12"/>
      <c r="AB31" s="15"/>
      <c r="AC31" s="16">
        <v>0</v>
      </c>
      <c r="AD31" s="16">
        <v>1</v>
      </c>
      <c r="AE31" s="16">
        <v>0</v>
      </c>
      <c r="AF31" s="16">
        <v>0</v>
      </c>
      <c r="AG31" s="16">
        <v>0</v>
      </c>
      <c r="AH31" s="14" t="s">
        <v>166</v>
      </c>
      <c r="AI31" s="54">
        <v>0</v>
      </c>
      <c r="AJ31" s="54">
        <v>1</v>
      </c>
      <c r="AK31" s="54">
        <v>0</v>
      </c>
      <c r="AL31" s="54">
        <v>0</v>
      </c>
      <c r="AM31" s="54">
        <v>0</v>
      </c>
      <c r="AN31" s="14" t="s">
        <v>166</v>
      </c>
    </row>
    <row r="32" spans="1:40" ht="110.25" x14ac:dyDescent="0.25">
      <c r="A32" s="12" t="s">
        <v>1195</v>
      </c>
      <c r="B32" s="12" t="s">
        <v>1196</v>
      </c>
      <c r="C32" s="12" t="s">
        <v>1125</v>
      </c>
      <c r="D32" s="13" t="s">
        <v>56</v>
      </c>
      <c r="E32" s="13" t="s">
        <v>54</v>
      </c>
      <c r="F32" s="13">
        <v>2307</v>
      </c>
      <c r="G32" s="13" t="s">
        <v>40</v>
      </c>
      <c r="H32" s="13" t="s">
        <v>258</v>
      </c>
      <c r="I32" s="12"/>
      <c r="J32" s="13">
        <v>669987070</v>
      </c>
      <c r="K32" s="13"/>
      <c r="L32" s="13" t="s">
        <v>259</v>
      </c>
      <c r="M32" s="14" t="s">
        <v>153</v>
      </c>
      <c r="N32" s="13" t="s">
        <v>152</v>
      </c>
      <c r="O32" s="12" t="s">
        <v>53</v>
      </c>
      <c r="P32" s="12" t="s">
        <v>174</v>
      </c>
      <c r="Q32" s="12" t="s">
        <v>868</v>
      </c>
      <c r="R32" s="12" t="s">
        <v>174</v>
      </c>
      <c r="S32" s="14" t="s">
        <v>166</v>
      </c>
      <c r="T32" s="12" t="s">
        <v>1110</v>
      </c>
      <c r="U32" s="14" t="s">
        <v>782</v>
      </c>
      <c r="V32" s="14"/>
      <c r="W32" s="14"/>
      <c r="X32" s="12"/>
      <c r="Y32" s="12"/>
      <c r="Z32" s="14"/>
      <c r="AA32" s="12"/>
      <c r="AB32" s="15"/>
      <c r="AC32" s="16">
        <v>0</v>
      </c>
      <c r="AD32" s="16">
        <v>0</v>
      </c>
      <c r="AE32" s="16">
        <v>1</v>
      </c>
      <c r="AF32" s="16">
        <v>0</v>
      </c>
      <c r="AG32" s="16">
        <v>0</v>
      </c>
      <c r="AH32" s="14" t="s">
        <v>166</v>
      </c>
      <c r="AI32" s="54">
        <v>0</v>
      </c>
      <c r="AJ32" s="54">
        <v>0</v>
      </c>
      <c r="AK32" s="54">
        <v>1</v>
      </c>
      <c r="AL32" s="54">
        <v>0</v>
      </c>
      <c r="AM32" s="54">
        <v>0</v>
      </c>
      <c r="AN32" s="14" t="s">
        <v>166</v>
      </c>
    </row>
    <row r="33" spans="1:40" ht="110.25" x14ac:dyDescent="0.25">
      <c r="A33" s="12" t="s">
        <v>1195</v>
      </c>
      <c r="B33" s="12" t="s">
        <v>1196</v>
      </c>
      <c r="C33" s="12" t="s">
        <v>1125</v>
      </c>
      <c r="D33" s="13" t="s">
        <v>56</v>
      </c>
      <c r="E33" s="13" t="s">
        <v>54</v>
      </c>
      <c r="F33" s="13">
        <v>440</v>
      </c>
      <c r="G33" s="13" t="s">
        <v>40</v>
      </c>
      <c r="H33" s="13" t="s">
        <v>262</v>
      </c>
      <c r="I33" s="12"/>
      <c r="J33" s="13">
        <v>686369656</v>
      </c>
      <c r="K33" s="13"/>
      <c r="L33" s="13" t="s">
        <v>263</v>
      </c>
      <c r="M33" s="14" t="s">
        <v>1074</v>
      </c>
      <c r="N33" s="13" t="s">
        <v>1069</v>
      </c>
      <c r="O33" s="12" t="s">
        <v>53</v>
      </c>
      <c r="P33" s="12" t="s">
        <v>174</v>
      </c>
      <c r="Q33" s="12" t="s">
        <v>868</v>
      </c>
      <c r="R33" s="12" t="s">
        <v>174</v>
      </c>
      <c r="S33" s="14" t="s">
        <v>166</v>
      </c>
      <c r="T33" s="12" t="s">
        <v>1110</v>
      </c>
      <c r="U33" s="14" t="s">
        <v>781</v>
      </c>
      <c r="V33" s="14"/>
      <c r="W33" s="14"/>
      <c r="X33" s="12"/>
      <c r="Y33" s="12"/>
      <c r="Z33" s="14"/>
      <c r="AA33" s="12"/>
      <c r="AB33" s="15"/>
      <c r="AC33" s="16">
        <v>0</v>
      </c>
      <c r="AD33" s="16">
        <v>0</v>
      </c>
      <c r="AE33" s="16">
        <v>0</v>
      </c>
      <c r="AF33" s="16">
        <v>1</v>
      </c>
      <c r="AG33" s="16">
        <v>0</v>
      </c>
      <c r="AH33" s="14" t="s">
        <v>166</v>
      </c>
      <c r="AI33" s="54">
        <v>0</v>
      </c>
      <c r="AJ33" s="54">
        <v>0</v>
      </c>
      <c r="AK33" s="54">
        <v>1</v>
      </c>
      <c r="AL33" s="54">
        <v>1</v>
      </c>
      <c r="AM33" s="54">
        <v>0</v>
      </c>
      <c r="AN33" s="14" t="s">
        <v>166</v>
      </c>
    </row>
    <row r="34" spans="1:40" ht="47.25" x14ac:dyDescent="0.25">
      <c r="A34" s="12" t="s">
        <v>1197</v>
      </c>
      <c r="B34" s="12" t="s">
        <v>1198</v>
      </c>
      <c r="C34" s="12" t="s">
        <v>1125</v>
      </c>
      <c r="D34" s="13" t="s">
        <v>57</v>
      </c>
      <c r="E34" s="13" t="s">
        <v>58</v>
      </c>
      <c r="F34" s="13">
        <v>6755</v>
      </c>
      <c r="G34" s="13" t="s">
        <v>40</v>
      </c>
      <c r="H34" s="13" t="s">
        <v>1024</v>
      </c>
      <c r="I34" s="12"/>
      <c r="J34" s="13">
        <v>636561773</v>
      </c>
      <c r="K34" s="13"/>
      <c r="L34" s="13" t="s">
        <v>1046</v>
      </c>
      <c r="M34" s="14" t="s">
        <v>1073</v>
      </c>
      <c r="N34" s="13" t="s">
        <v>1068</v>
      </c>
      <c r="O34" s="12" t="s">
        <v>53</v>
      </c>
      <c r="P34" s="12" t="s">
        <v>174</v>
      </c>
      <c r="Q34" s="12" t="s">
        <v>868</v>
      </c>
      <c r="R34" s="12" t="s">
        <v>174</v>
      </c>
      <c r="S34" s="14" t="s">
        <v>166</v>
      </c>
      <c r="T34" s="12" t="s">
        <v>1199</v>
      </c>
      <c r="U34" s="14" t="s">
        <v>780</v>
      </c>
      <c r="V34" s="14"/>
      <c r="W34" s="14"/>
      <c r="X34" s="12"/>
      <c r="Y34" s="12"/>
      <c r="Z34" s="14"/>
      <c r="AA34" s="12"/>
      <c r="AB34" s="15"/>
      <c r="AC34" s="16">
        <v>0</v>
      </c>
      <c r="AD34" s="16">
        <v>0</v>
      </c>
      <c r="AE34" s="16">
        <v>0</v>
      </c>
      <c r="AF34" s="16">
        <v>0</v>
      </c>
      <c r="AG34" s="16">
        <v>0</v>
      </c>
      <c r="AH34" s="14" t="s">
        <v>174</v>
      </c>
      <c r="AI34" s="54">
        <v>0</v>
      </c>
      <c r="AJ34" s="54">
        <v>1</v>
      </c>
      <c r="AK34" s="54">
        <v>1</v>
      </c>
      <c r="AL34" s="54">
        <v>1</v>
      </c>
      <c r="AM34" s="54">
        <v>0</v>
      </c>
      <c r="AN34" s="14" t="s">
        <v>166</v>
      </c>
    </row>
    <row r="35" spans="1:40" ht="47.25" x14ac:dyDescent="0.25">
      <c r="A35" s="12" t="s">
        <v>1200</v>
      </c>
      <c r="B35" s="12" t="s">
        <v>1201</v>
      </c>
      <c r="C35" s="12" t="s">
        <v>1125</v>
      </c>
      <c r="D35" s="13" t="s">
        <v>57</v>
      </c>
      <c r="E35" s="13" t="s">
        <v>58</v>
      </c>
      <c r="F35" s="13">
        <v>144</v>
      </c>
      <c r="G35" s="13" t="s">
        <v>59</v>
      </c>
      <c r="H35" s="13" t="s">
        <v>254</v>
      </c>
      <c r="I35" s="12"/>
      <c r="J35" s="13">
        <v>676724678</v>
      </c>
      <c r="K35" s="13"/>
      <c r="L35" s="13" t="s">
        <v>255</v>
      </c>
      <c r="M35" s="14" t="s">
        <v>1074</v>
      </c>
      <c r="N35" s="13" t="s">
        <v>1069</v>
      </c>
      <c r="O35" s="12" t="s">
        <v>53</v>
      </c>
      <c r="P35" s="12" t="s">
        <v>174</v>
      </c>
      <c r="Q35" s="12" t="s">
        <v>868</v>
      </c>
      <c r="R35" s="12" t="s">
        <v>174</v>
      </c>
      <c r="S35" s="14" t="s">
        <v>166</v>
      </c>
      <c r="T35" s="12" t="s">
        <v>1110</v>
      </c>
      <c r="U35" s="14" t="s">
        <v>781</v>
      </c>
      <c r="V35" s="14"/>
      <c r="W35" s="14"/>
      <c r="X35" s="12"/>
      <c r="Y35" s="12"/>
      <c r="Z35" s="14"/>
      <c r="AA35" s="12"/>
      <c r="AB35" s="15"/>
      <c r="AC35" s="16">
        <v>0</v>
      </c>
      <c r="AD35" s="16">
        <v>0</v>
      </c>
      <c r="AE35" s="16">
        <v>0</v>
      </c>
      <c r="AF35" s="16">
        <v>1</v>
      </c>
      <c r="AG35" s="16">
        <v>0</v>
      </c>
      <c r="AH35" s="14" t="s">
        <v>166</v>
      </c>
      <c r="AI35" s="54">
        <v>0</v>
      </c>
      <c r="AJ35" s="54">
        <v>0</v>
      </c>
      <c r="AK35" s="54">
        <v>0</v>
      </c>
      <c r="AL35" s="54">
        <v>1</v>
      </c>
      <c r="AM35" s="54">
        <v>0</v>
      </c>
      <c r="AN35" s="14" t="s">
        <v>166</v>
      </c>
    </row>
    <row r="36" spans="1:40" ht="47.25" x14ac:dyDescent="0.25">
      <c r="A36" s="12" t="s">
        <v>1202</v>
      </c>
      <c r="B36" s="12" t="s">
        <v>1203</v>
      </c>
      <c r="C36" s="12" t="s">
        <v>1126</v>
      </c>
      <c r="D36" s="13" t="s">
        <v>26</v>
      </c>
      <c r="E36" s="13" t="s">
        <v>26</v>
      </c>
      <c r="F36" s="13">
        <v>2532</v>
      </c>
      <c r="G36" s="13" t="s">
        <v>27</v>
      </c>
      <c r="H36" s="13" t="s">
        <v>245</v>
      </c>
      <c r="I36" s="12"/>
      <c r="J36" s="13">
        <v>607377248</v>
      </c>
      <c r="K36" s="13"/>
      <c r="L36" s="13" t="s">
        <v>246</v>
      </c>
      <c r="M36" s="14" t="s">
        <v>1073</v>
      </c>
      <c r="N36" s="13" t="s">
        <v>1068</v>
      </c>
      <c r="O36" s="12">
        <v>3</v>
      </c>
      <c r="P36" s="12" t="s">
        <v>174</v>
      </c>
      <c r="Q36" s="12" t="s">
        <v>174</v>
      </c>
      <c r="R36" s="12" t="s">
        <v>867</v>
      </c>
      <c r="S36" s="14" t="s">
        <v>166</v>
      </c>
      <c r="T36" s="12" t="s">
        <v>1110</v>
      </c>
      <c r="U36" s="14" t="s">
        <v>780</v>
      </c>
      <c r="V36" s="14"/>
      <c r="W36" s="14"/>
      <c r="X36" s="12"/>
      <c r="Y36" s="12"/>
      <c r="Z36" s="14"/>
      <c r="AA36" s="12"/>
      <c r="AB36" s="15"/>
      <c r="AC36" s="16" t="s">
        <v>111</v>
      </c>
      <c r="AD36" s="16" t="s">
        <v>111</v>
      </c>
      <c r="AE36" s="16" t="s">
        <v>111</v>
      </c>
      <c r="AF36" s="16" t="s">
        <v>111</v>
      </c>
      <c r="AG36" s="16" t="s">
        <v>111</v>
      </c>
      <c r="AH36" s="14" t="s">
        <v>1149</v>
      </c>
      <c r="AI36" s="54">
        <v>0</v>
      </c>
      <c r="AJ36" s="54">
        <v>0</v>
      </c>
      <c r="AK36" s="54">
        <v>0</v>
      </c>
      <c r="AL36" s="54">
        <v>0</v>
      </c>
      <c r="AM36" s="54">
        <v>1</v>
      </c>
      <c r="AN36" s="14" t="s">
        <v>166</v>
      </c>
    </row>
    <row r="37" spans="1:40" ht="47.25" x14ac:dyDescent="0.25">
      <c r="A37" s="12" t="s">
        <v>1204</v>
      </c>
      <c r="B37" s="12" t="s">
        <v>1205</v>
      </c>
      <c r="C37" s="12" t="s">
        <v>1126</v>
      </c>
      <c r="D37" s="13" t="s">
        <v>28</v>
      </c>
      <c r="E37" s="13" t="s">
        <v>28</v>
      </c>
      <c r="F37" s="13">
        <v>436</v>
      </c>
      <c r="G37" s="13" t="s">
        <v>29</v>
      </c>
      <c r="H37" s="13" t="s">
        <v>218</v>
      </c>
      <c r="I37" s="12"/>
      <c r="J37" s="13">
        <v>636195919</v>
      </c>
      <c r="K37" s="13"/>
      <c r="L37" s="13" t="s">
        <v>219</v>
      </c>
      <c r="M37" s="14" t="s">
        <v>1074</v>
      </c>
      <c r="N37" s="13" t="s">
        <v>1069</v>
      </c>
      <c r="O37" s="12">
        <v>7</v>
      </c>
      <c r="P37" s="12" t="s">
        <v>174</v>
      </c>
      <c r="Q37" s="12" t="s">
        <v>868</v>
      </c>
      <c r="R37" s="12" t="s">
        <v>174</v>
      </c>
      <c r="S37" s="14" t="s">
        <v>166</v>
      </c>
      <c r="T37" s="12" t="s">
        <v>1110</v>
      </c>
      <c r="U37" s="14" t="s">
        <v>781</v>
      </c>
      <c r="V37" s="14"/>
      <c r="W37" s="14"/>
      <c r="X37" s="12"/>
      <c r="Y37" s="12"/>
      <c r="Z37" s="14"/>
      <c r="AA37" s="12"/>
      <c r="AB37" s="15"/>
      <c r="AC37" s="16" t="s">
        <v>111</v>
      </c>
      <c r="AD37" s="16" t="s">
        <v>111</v>
      </c>
      <c r="AE37" s="16" t="s">
        <v>111</v>
      </c>
      <c r="AF37" s="16" t="s">
        <v>111</v>
      </c>
      <c r="AG37" s="16">
        <v>0</v>
      </c>
      <c r="AH37" s="14" t="s">
        <v>1149</v>
      </c>
      <c r="AI37" s="54">
        <v>0</v>
      </c>
      <c r="AJ37" s="54">
        <v>0</v>
      </c>
      <c r="AK37" s="54">
        <v>0</v>
      </c>
      <c r="AL37" s="54">
        <v>1</v>
      </c>
      <c r="AM37" s="54">
        <v>1</v>
      </c>
      <c r="AN37" s="14" t="s">
        <v>166</v>
      </c>
    </row>
    <row r="38" spans="1:40" ht="47.25" x14ac:dyDescent="0.25">
      <c r="A38" s="12" t="s">
        <v>1204</v>
      </c>
      <c r="B38" s="12" t="s">
        <v>1205</v>
      </c>
      <c r="C38" s="12" t="s">
        <v>1126</v>
      </c>
      <c r="D38" s="13" t="s">
        <v>28</v>
      </c>
      <c r="E38" s="13" t="s">
        <v>28</v>
      </c>
      <c r="F38" s="13">
        <v>2347</v>
      </c>
      <c r="G38" s="13" t="s">
        <v>29</v>
      </c>
      <c r="H38" s="13" t="s">
        <v>177</v>
      </c>
      <c r="I38" s="12"/>
      <c r="J38" s="13">
        <v>630957140</v>
      </c>
      <c r="K38" s="13"/>
      <c r="L38" s="13" t="s">
        <v>178</v>
      </c>
      <c r="M38" s="14" t="s">
        <v>153</v>
      </c>
      <c r="N38" s="13" t="s">
        <v>152</v>
      </c>
      <c r="O38" s="12" t="s">
        <v>53</v>
      </c>
      <c r="P38" s="12" t="s">
        <v>1045</v>
      </c>
      <c r="Q38" s="12" t="s">
        <v>868</v>
      </c>
      <c r="R38" s="12" t="s">
        <v>174</v>
      </c>
      <c r="S38" s="14" t="s">
        <v>166</v>
      </c>
      <c r="T38" s="12" t="s">
        <v>1110</v>
      </c>
      <c r="U38" s="14" t="s">
        <v>782</v>
      </c>
      <c r="V38" s="14"/>
      <c r="W38" s="14"/>
      <c r="X38" s="12"/>
      <c r="Y38" s="12"/>
      <c r="Z38" s="14"/>
      <c r="AA38" s="12"/>
      <c r="AB38" s="15"/>
      <c r="AC38" s="16" t="s">
        <v>111</v>
      </c>
      <c r="AD38" s="16" t="s">
        <v>111</v>
      </c>
      <c r="AE38" s="16" t="s">
        <v>111</v>
      </c>
      <c r="AF38" s="16" t="s">
        <v>111</v>
      </c>
      <c r="AG38" s="16">
        <v>0</v>
      </c>
      <c r="AH38" s="14" t="s">
        <v>1149</v>
      </c>
      <c r="AI38" s="54">
        <v>0</v>
      </c>
      <c r="AJ38" s="54">
        <v>0</v>
      </c>
      <c r="AK38" s="54">
        <v>1</v>
      </c>
      <c r="AL38" s="54">
        <v>1</v>
      </c>
      <c r="AM38" s="54">
        <v>1</v>
      </c>
      <c r="AN38" s="14" t="s">
        <v>166</v>
      </c>
    </row>
    <row r="39" spans="1:40" ht="47.25" x14ac:dyDescent="0.25">
      <c r="A39" s="12" t="s">
        <v>1206</v>
      </c>
      <c r="B39" s="12" t="s">
        <v>1207</v>
      </c>
      <c r="C39" s="12" t="s">
        <v>1126</v>
      </c>
      <c r="D39" s="13" t="s">
        <v>30</v>
      </c>
      <c r="E39" s="13" t="s">
        <v>30</v>
      </c>
      <c r="F39" s="13">
        <v>4219</v>
      </c>
      <c r="G39" s="13" t="s">
        <v>31</v>
      </c>
      <c r="H39" s="13" t="s">
        <v>172</v>
      </c>
      <c r="I39" s="12"/>
      <c r="J39" s="13">
        <v>683469949</v>
      </c>
      <c r="K39" s="13"/>
      <c r="L39" s="13" t="s">
        <v>173</v>
      </c>
      <c r="M39" s="14" t="s">
        <v>1073</v>
      </c>
      <c r="N39" s="13" t="s">
        <v>1068</v>
      </c>
      <c r="O39" s="12">
        <v>7</v>
      </c>
      <c r="P39" s="12" t="s">
        <v>174</v>
      </c>
      <c r="Q39" s="12" t="s">
        <v>868</v>
      </c>
      <c r="R39" s="12" t="s">
        <v>174</v>
      </c>
      <c r="S39" s="14" t="s">
        <v>166</v>
      </c>
      <c r="T39" s="12" t="s">
        <v>1110</v>
      </c>
      <c r="U39" s="14" t="s">
        <v>780</v>
      </c>
      <c r="V39" s="14"/>
      <c r="W39" s="14"/>
      <c r="X39" s="12"/>
      <c r="Y39" s="12"/>
      <c r="Z39" s="14"/>
      <c r="AA39" s="12"/>
      <c r="AB39" s="15"/>
      <c r="AC39" s="16" t="s">
        <v>111</v>
      </c>
      <c r="AD39" s="16" t="s">
        <v>111</v>
      </c>
      <c r="AE39" s="16" t="s">
        <v>111</v>
      </c>
      <c r="AF39" s="16" t="s">
        <v>111</v>
      </c>
      <c r="AG39" s="16">
        <v>0</v>
      </c>
      <c r="AH39" s="14" t="s">
        <v>1149</v>
      </c>
      <c r="AI39" s="54">
        <v>0</v>
      </c>
      <c r="AJ39" s="54">
        <v>0</v>
      </c>
      <c r="AK39" s="54">
        <v>0</v>
      </c>
      <c r="AL39" s="54">
        <v>1</v>
      </c>
      <c r="AM39" s="54">
        <v>1</v>
      </c>
      <c r="AN39" s="14" t="s">
        <v>166</v>
      </c>
    </row>
    <row r="40" spans="1:40" ht="47.25" x14ac:dyDescent="0.25">
      <c r="A40" s="12" t="s">
        <v>1208</v>
      </c>
      <c r="B40" s="12" t="s">
        <v>1209</v>
      </c>
      <c r="C40" s="12" t="s">
        <v>1126</v>
      </c>
      <c r="D40" s="13" t="s">
        <v>966</v>
      </c>
      <c r="E40" s="13" t="s">
        <v>60</v>
      </c>
      <c r="F40" s="13">
        <v>2421</v>
      </c>
      <c r="G40" s="13" t="s">
        <v>55</v>
      </c>
      <c r="H40" s="13" t="s">
        <v>183</v>
      </c>
      <c r="I40" s="12"/>
      <c r="J40" s="13">
        <v>679375076</v>
      </c>
      <c r="K40" s="13"/>
      <c r="L40" s="13" t="s">
        <v>184</v>
      </c>
      <c r="M40" s="14" t="s">
        <v>153</v>
      </c>
      <c r="N40" s="13" t="s">
        <v>152</v>
      </c>
      <c r="O40" s="12" t="s">
        <v>53</v>
      </c>
      <c r="P40" s="12" t="s">
        <v>174</v>
      </c>
      <c r="Q40" s="12" t="s">
        <v>868</v>
      </c>
      <c r="R40" s="12" t="s">
        <v>174</v>
      </c>
      <c r="S40" s="14" t="s">
        <v>166</v>
      </c>
      <c r="T40" s="12" t="s">
        <v>1110</v>
      </c>
      <c r="U40" s="14" t="s">
        <v>782</v>
      </c>
      <c r="V40" s="14"/>
      <c r="W40" s="14"/>
      <c r="X40" s="12"/>
      <c r="Y40" s="12"/>
      <c r="Z40" s="14"/>
      <c r="AA40" s="12"/>
      <c r="AB40" s="15"/>
      <c r="AC40" s="16">
        <v>0</v>
      </c>
      <c r="AD40" s="16">
        <v>0</v>
      </c>
      <c r="AE40" s="16">
        <v>1</v>
      </c>
      <c r="AF40" s="16">
        <v>0</v>
      </c>
      <c r="AG40" s="16">
        <v>0</v>
      </c>
      <c r="AH40" s="14" t="s">
        <v>166</v>
      </c>
      <c r="AI40" s="54">
        <v>0</v>
      </c>
      <c r="AJ40" s="54">
        <v>0</v>
      </c>
      <c r="AK40" s="54">
        <v>1</v>
      </c>
      <c r="AL40" s="54">
        <v>0</v>
      </c>
      <c r="AM40" s="54">
        <v>0</v>
      </c>
      <c r="AN40" s="14" t="s">
        <v>166</v>
      </c>
    </row>
    <row r="41" spans="1:40" ht="47.25" x14ac:dyDescent="0.25">
      <c r="A41" s="12" t="s">
        <v>1208</v>
      </c>
      <c r="B41" s="12" t="s">
        <v>1209</v>
      </c>
      <c r="C41" s="12" t="s">
        <v>1126</v>
      </c>
      <c r="D41" s="13" t="s">
        <v>966</v>
      </c>
      <c r="E41" s="13" t="s">
        <v>60</v>
      </c>
      <c r="F41" s="13">
        <v>2322</v>
      </c>
      <c r="G41" s="13" t="s">
        <v>55</v>
      </c>
      <c r="H41" s="13" t="s">
        <v>179</v>
      </c>
      <c r="I41" s="12"/>
      <c r="J41" s="13">
        <v>689870157</v>
      </c>
      <c r="K41" s="13"/>
      <c r="L41" s="13" t="s">
        <v>180</v>
      </c>
      <c r="M41" s="14" t="s">
        <v>153</v>
      </c>
      <c r="N41" s="13" t="s">
        <v>152</v>
      </c>
      <c r="O41" s="12" t="s">
        <v>53</v>
      </c>
      <c r="P41" s="12" t="s">
        <v>1045</v>
      </c>
      <c r="Q41" s="12" t="s">
        <v>174</v>
      </c>
      <c r="R41" s="12" t="s">
        <v>174</v>
      </c>
      <c r="S41" s="14" t="s">
        <v>166</v>
      </c>
      <c r="T41" s="12" t="s">
        <v>174</v>
      </c>
      <c r="U41" s="14" t="s">
        <v>782</v>
      </c>
      <c r="V41" s="14"/>
      <c r="W41" s="14"/>
      <c r="X41" s="12"/>
      <c r="Y41" s="12"/>
      <c r="Z41" s="14"/>
      <c r="AA41" s="12"/>
      <c r="AB41" s="15"/>
      <c r="AC41" s="16">
        <v>0</v>
      </c>
      <c r="AD41" s="16">
        <v>0</v>
      </c>
      <c r="AE41" s="16">
        <v>1</v>
      </c>
      <c r="AF41" s="16">
        <v>0</v>
      </c>
      <c r="AG41" s="16">
        <v>0</v>
      </c>
      <c r="AH41" s="14" t="s">
        <v>166</v>
      </c>
      <c r="AI41" s="54">
        <v>0</v>
      </c>
      <c r="AJ41" s="54">
        <v>0</v>
      </c>
      <c r="AK41" s="54">
        <v>1</v>
      </c>
      <c r="AL41" s="54">
        <v>0</v>
      </c>
      <c r="AM41" s="54">
        <v>0</v>
      </c>
      <c r="AN41" s="14" t="s">
        <v>166</v>
      </c>
    </row>
    <row r="42" spans="1:40" ht="78.75" x14ac:dyDescent="0.25">
      <c r="A42" s="12" t="s">
        <v>1210</v>
      </c>
      <c r="B42" s="12" t="s">
        <v>1211</v>
      </c>
      <c r="C42" s="12" t="s">
        <v>1126</v>
      </c>
      <c r="D42" s="13" t="s">
        <v>964</v>
      </c>
      <c r="E42" s="13" t="s">
        <v>61</v>
      </c>
      <c r="F42" s="13">
        <v>3654</v>
      </c>
      <c r="G42" s="13" t="s">
        <v>55</v>
      </c>
      <c r="H42" s="13" t="s">
        <v>205</v>
      </c>
      <c r="I42" s="12"/>
      <c r="J42" s="13">
        <v>681242257</v>
      </c>
      <c r="K42" s="13"/>
      <c r="L42" s="13" t="s">
        <v>890</v>
      </c>
      <c r="M42" s="14" t="s">
        <v>1074</v>
      </c>
      <c r="N42" s="13" t="s">
        <v>1069</v>
      </c>
      <c r="O42" s="12">
        <v>7</v>
      </c>
      <c r="P42" s="12" t="s">
        <v>174</v>
      </c>
      <c r="Q42" s="12" t="s">
        <v>868</v>
      </c>
      <c r="R42" s="12" t="s">
        <v>174</v>
      </c>
      <c r="S42" s="14" t="s">
        <v>166</v>
      </c>
      <c r="T42" s="12" t="s">
        <v>1110</v>
      </c>
      <c r="U42" s="14" t="s">
        <v>781</v>
      </c>
      <c r="V42" s="14"/>
      <c r="W42" s="14"/>
      <c r="X42" s="12"/>
      <c r="Y42" s="12"/>
      <c r="Z42" s="14"/>
      <c r="AA42" s="12"/>
      <c r="AB42" s="15"/>
      <c r="AC42" s="16">
        <v>0</v>
      </c>
      <c r="AD42" s="16">
        <v>0</v>
      </c>
      <c r="AE42" s="16">
        <v>0</v>
      </c>
      <c r="AF42" s="16">
        <v>0</v>
      </c>
      <c r="AG42" s="16">
        <v>1</v>
      </c>
      <c r="AH42" s="14" t="s">
        <v>166</v>
      </c>
      <c r="AI42" s="54">
        <v>0</v>
      </c>
      <c r="AJ42" s="54">
        <v>0</v>
      </c>
      <c r="AK42" s="54">
        <v>0</v>
      </c>
      <c r="AL42" s="54">
        <v>0</v>
      </c>
      <c r="AM42" s="54">
        <v>1</v>
      </c>
      <c r="AN42" s="14" t="s">
        <v>166</v>
      </c>
    </row>
    <row r="43" spans="1:40" ht="78.75" x14ac:dyDescent="0.25">
      <c r="A43" s="12" t="s">
        <v>1210</v>
      </c>
      <c r="B43" s="12" t="s">
        <v>1211</v>
      </c>
      <c r="C43" s="12" t="s">
        <v>1126</v>
      </c>
      <c r="D43" s="13" t="s">
        <v>964</v>
      </c>
      <c r="E43" s="13" t="s">
        <v>61</v>
      </c>
      <c r="F43" s="13">
        <v>4799</v>
      </c>
      <c r="G43" s="13" t="s">
        <v>55</v>
      </c>
      <c r="H43" s="13" t="s">
        <v>207</v>
      </c>
      <c r="I43" s="12"/>
      <c r="J43" s="13">
        <v>689959862</v>
      </c>
      <c r="K43" s="13"/>
      <c r="L43" s="13" t="s">
        <v>208</v>
      </c>
      <c r="M43" s="14" t="s">
        <v>1074</v>
      </c>
      <c r="N43" s="13" t="s">
        <v>1069</v>
      </c>
      <c r="O43" s="12">
        <v>7</v>
      </c>
      <c r="P43" s="12" t="s">
        <v>174</v>
      </c>
      <c r="Q43" s="12" t="s">
        <v>868</v>
      </c>
      <c r="R43" s="12" t="s">
        <v>174</v>
      </c>
      <c r="S43" s="14" t="s">
        <v>166</v>
      </c>
      <c r="T43" s="12" t="s">
        <v>1110</v>
      </c>
      <c r="U43" s="14" t="s">
        <v>781</v>
      </c>
      <c r="V43" s="14"/>
      <c r="W43" s="14"/>
      <c r="X43" s="12"/>
      <c r="Y43" s="12"/>
      <c r="Z43" s="14"/>
      <c r="AA43" s="12"/>
      <c r="AB43" s="15"/>
      <c r="AC43" s="16">
        <v>0</v>
      </c>
      <c r="AD43" s="16">
        <v>0</v>
      </c>
      <c r="AE43" s="16">
        <v>0</v>
      </c>
      <c r="AF43" s="16">
        <v>1</v>
      </c>
      <c r="AG43" s="16">
        <v>0</v>
      </c>
      <c r="AH43" s="14" t="s">
        <v>166</v>
      </c>
      <c r="AI43" s="54">
        <v>0</v>
      </c>
      <c r="AJ43" s="54">
        <v>0</v>
      </c>
      <c r="AK43" s="54">
        <v>0</v>
      </c>
      <c r="AL43" s="54">
        <v>1</v>
      </c>
      <c r="AM43" s="54">
        <v>0</v>
      </c>
      <c r="AN43" s="14" t="s">
        <v>166</v>
      </c>
    </row>
    <row r="44" spans="1:40" ht="78.75" x14ac:dyDescent="0.25">
      <c r="A44" s="12" t="s">
        <v>1212</v>
      </c>
      <c r="B44" s="12" t="s">
        <v>1213</v>
      </c>
      <c r="C44" s="12" t="s">
        <v>1126</v>
      </c>
      <c r="D44" s="13" t="s">
        <v>964</v>
      </c>
      <c r="E44" s="13" t="s">
        <v>62</v>
      </c>
      <c r="F44" s="13">
        <v>436</v>
      </c>
      <c r="G44" s="13" t="s">
        <v>55</v>
      </c>
      <c r="H44" s="13" t="s">
        <v>218</v>
      </c>
      <c r="I44" s="12"/>
      <c r="J44" s="13">
        <v>636195919</v>
      </c>
      <c r="K44" s="13"/>
      <c r="L44" s="13" t="s">
        <v>219</v>
      </c>
      <c r="M44" s="14" t="s">
        <v>1074</v>
      </c>
      <c r="N44" s="13" t="s">
        <v>1069</v>
      </c>
      <c r="O44" s="12">
        <v>7</v>
      </c>
      <c r="P44" s="12" t="s">
        <v>174</v>
      </c>
      <c r="Q44" s="12" t="s">
        <v>868</v>
      </c>
      <c r="R44" s="12" t="s">
        <v>174</v>
      </c>
      <c r="S44" s="14" t="s">
        <v>166</v>
      </c>
      <c r="T44" s="12" t="s">
        <v>1110</v>
      </c>
      <c r="U44" s="14" t="s">
        <v>781</v>
      </c>
      <c r="V44" s="14"/>
      <c r="W44" s="14"/>
      <c r="X44" s="12"/>
      <c r="Y44" s="12"/>
      <c r="Z44" s="14"/>
      <c r="AA44" s="12"/>
      <c r="AB44" s="15"/>
      <c r="AC44" s="16">
        <v>0</v>
      </c>
      <c r="AD44" s="16">
        <v>0</v>
      </c>
      <c r="AE44" s="16">
        <v>0</v>
      </c>
      <c r="AF44" s="16">
        <v>1</v>
      </c>
      <c r="AG44" s="16">
        <v>0</v>
      </c>
      <c r="AH44" s="14" t="s">
        <v>166</v>
      </c>
      <c r="AI44" s="54">
        <v>0</v>
      </c>
      <c r="AJ44" s="54">
        <v>0</v>
      </c>
      <c r="AK44" s="54">
        <v>0</v>
      </c>
      <c r="AL44" s="54">
        <v>1</v>
      </c>
      <c r="AM44" s="54">
        <v>1</v>
      </c>
      <c r="AN44" s="14" t="s">
        <v>166</v>
      </c>
    </row>
    <row r="45" spans="1:40" ht="78.75" x14ac:dyDescent="0.25">
      <c r="A45" s="12" t="s">
        <v>1212</v>
      </c>
      <c r="B45" s="12" t="s">
        <v>1213</v>
      </c>
      <c r="C45" s="12" t="s">
        <v>1126</v>
      </c>
      <c r="D45" s="13" t="s">
        <v>964</v>
      </c>
      <c r="E45" s="13" t="s">
        <v>62</v>
      </c>
      <c r="F45" s="13">
        <v>207</v>
      </c>
      <c r="G45" s="13" t="s">
        <v>55</v>
      </c>
      <c r="H45" s="13" t="s">
        <v>201</v>
      </c>
      <c r="I45" s="12"/>
      <c r="J45" s="13">
        <v>679137190</v>
      </c>
      <c r="K45" s="13"/>
      <c r="L45" s="13" t="s">
        <v>202</v>
      </c>
      <c r="M45" s="14" t="s">
        <v>1074</v>
      </c>
      <c r="N45" s="13" t="s">
        <v>1069</v>
      </c>
      <c r="O45" s="12" t="s">
        <v>53</v>
      </c>
      <c r="P45" s="12" t="s">
        <v>1045</v>
      </c>
      <c r="Q45" s="12" t="s">
        <v>174</v>
      </c>
      <c r="R45" s="12" t="s">
        <v>174</v>
      </c>
      <c r="S45" s="14" t="s">
        <v>166</v>
      </c>
      <c r="T45" s="12" t="s">
        <v>174</v>
      </c>
      <c r="U45" s="14" t="s">
        <v>781</v>
      </c>
      <c r="V45" s="14"/>
      <c r="W45" s="14"/>
      <c r="X45" s="12"/>
      <c r="Y45" s="12"/>
      <c r="Z45" s="14"/>
      <c r="AA45" s="12"/>
      <c r="AB45" s="15"/>
      <c r="AC45" s="16">
        <v>0</v>
      </c>
      <c r="AD45" s="16">
        <v>0</v>
      </c>
      <c r="AE45" s="16">
        <v>0</v>
      </c>
      <c r="AF45" s="16">
        <v>1</v>
      </c>
      <c r="AG45" s="16">
        <v>0</v>
      </c>
      <c r="AH45" s="14" t="s">
        <v>166</v>
      </c>
      <c r="AI45" s="54">
        <v>0</v>
      </c>
      <c r="AJ45" s="54">
        <v>0</v>
      </c>
      <c r="AK45" s="54">
        <v>0</v>
      </c>
      <c r="AL45" s="54">
        <v>1</v>
      </c>
      <c r="AM45" s="54">
        <v>0</v>
      </c>
      <c r="AN45" s="14" t="s">
        <v>166</v>
      </c>
    </row>
    <row r="46" spans="1:40" ht="78.75" x14ac:dyDescent="0.25">
      <c r="A46" s="12" t="s">
        <v>1212</v>
      </c>
      <c r="B46" s="12" t="s">
        <v>1213</v>
      </c>
      <c r="C46" s="12" t="s">
        <v>1126</v>
      </c>
      <c r="D46" s="13" t="s">
        <v>964</v>
      </c>
      <c r="E46" s="13" t="s">
        <v>62</v>
      </c>
      <c r="F46" s="13">
        <v>1577</v>
      </c>
      <c r="G46" s="13" t="s">
        <v>55</v>
      </c>
      <c r="H46" s="13" t="s">
        <v>213</v>
      </c>
      <c r="I46" s="12"/>
      <c r="J46" s="13">
        <v>660193366</v>
      </c>
      <c r="K46" s="13"/>
      <c r="L46" s="13" t="s">
        <v>214</v>
      </c>
      <c r="M46" s="14" t="s">
        <v>1074</v>
      </c>
      <c r="N46" s="13" t="s">
        <v>1069</v>
      </c>
      <c r="O46" s="12" t="s">
        <v>53</v>
      </c>
      <c r="P46" s="12" t="s">
        <v>1045</v>
      </c>
      <c r="Q46" s="12" t="s">
        <v>868</v>
      </c>
      <c r="R46" s="12" t="s">
        <v>174</v>
      </c>
      <c r="S46" s="14" t="s">
        <v>166</v>
      </c>
      <c r="T46" s="12" t="s">
        <v>174</v>
      </c>
      <c r="U46" s="14" t="s">
        <v>781</v>
      </c>
      <c r="V46" s="14"/>
      <c r="W46" s="14"/>
      <c r="X46" s="12"/>
      <c r="Y46" s="12"/>
      <c r="Z46" s="14"/>
      <c r="AA46" s="12"/>
      <c r="AB46" s="15"/>
      <c r="AC46" s="16">
        <v>0</v>
      </c>
      <c r="AD46" s="16">
        <v>0</v>
      </c>
      <c r="AE46" s="16">
        <v>0</v>
      </c>
      <c r="AF46" s="16">
        <v>0</v>
      </c>
      <c r="AG46" s="16">
        <v>1</v>
      </c>
      <c r="AH46" s="14" t="s">
        <v>166</v>
      </c>
      <c r="AI46" s="54">
        <v>0</v>
      </c>
      <c r="AJ46" s="54">
        <v>0</v>
      </c>
      <c r="AK46" s="54">
        <v>1</v>
      </c>
      <c r="AL46" s="54">
        <v>0</v>
      </c>
      <c r="AM46" s="54">
        <v>1</v>
      </c>
      <c r="AN46" s="14" t="s">
        <v>166</v>
      </c>
    </row>
    <row r="47" spans="1:40" ht="47.25" x14ac:dyDescent="0.25">
      <c r="A47" s="12" t="s">
        <v>1214</v>
      </c>
      <c r="B47" s="12" t="s">
        <v>1215</v>
      </c>
      <c r="C47" s="12" t="s">
        <v>1126</v>
      </c>
      <c r="D47" s="13" t="s">
        <v>967</v>
      </c>
      <c r="E47" s="13" t="s">
        <v>60</v>
      </c>
      <c r="F47" s="13">
        <v>2346</v>
      </c>
      <c r="G47" s="13" t="s">
        <v>40</v>
      </c>
      <c r="H47" s="13" t="s">
        <v>195</v>
      </c>
      <c r="I47" s="12"/>
      <c r="J47" s="13">
        <v>686973596</v>
      </c>
      <c r="K47" s="13"/>
      <c r="L47" s="13" t="s">
        <v>196</v>
      </c>
      <c r="M47" s="14" t="s">
        <v>153</v>
      </c>
      <c r="N47" s="13" t="s">
        <v>152</v>
      </c>
      <c r="O47" s="12">
        <v>7</v>
      </c>
      <c r="P47" s="12" t="s">
        <v>174</v>
      </c>
      <c r="Q47" s="12" t="s">
        <v>868</v>
      </c>
      <c r="R47" s="12" t="s">
        <v>174</v>
      </c>
      <c r="S47" s="14" t="s">
        <v>166</v>
      </c>
      <c r="T47" s="12" t="s">
        <v>174</v>
      </c>
      <c r="U47" s="14" t="s">
        <v>782</v>
      </c>
      <c r="V47" s="14"/>
      <c r="W47" s="14"/>
      <c r="X47" s="12"/>
      <c r="Y47" s="12"/>
      <c r="Z47" s="14"/>
      <c r="AA47" s="12"/>
      <c r="AB47" s="15"/>
      <c r="AC47" s="16">
        <v>0</v>
      </c>
      <c r="AD47" s="16">
        <v>0</v>
      </c>
      <c r="AE47" s="16">
        <v>1</v>
      </c>
      <c r="AF47" s="16">
        <v>0</v>
      </c>
      <c r="AG47" s="16">
        <v>0</v>
      </c>
      <c r="AH47" s="14" t="s">
        <v>166</v>
      </c>
      <c r="AI47" s="54">
        <v>0</v>
      </c>
      <c r="AJ47" s="54">
        <v>0</v>
      </c>
      <c r="AK47" s="54">
        <v>1</v>
      </c>
      <c r="AL47" s="54">
        <v>0</v>
      </c>
      <c r="AM47" s="54">
        <v>0</v>
      </c>
      <c r="AN47" s="14" t="s">
        <v>166</v>
      </c>
    </row>
    <row r="48" spans="1:40" ht="47.25" x14ac:dyDescent="0.25">
      <c r="A48" s="12" t="s">
        <v>1214</v>
      </c>
      <c r="B48" s="12" t="s">
        <v>1215</v>
      </c>
      <c r="C48" s="12" t="s">
        <v>1126</v>
      </c>
      <c r="D48" s="13" t="s">
        <v>967</v>
      </c>
      <c r="E48" s="13" t="s">
        <v>60</v>
      </c>
      <c r="F48" s="13">
        <v>2303</v>
      </c>
      <c r="G48" s="13" t="s">
        <v>40</v>
      </c>
      <c r="H48" s="13" t="s">
        <v>191</v>
      </c>
      <c r="I48" s="12"/>
      <c r="J48" s="13">
        <v>696199365</v>
      </c>
      <c r="K48" s="13"/>
      <c r="L48" s="13" t="s">
        <v>192</v>
      </c>
      <c r="M48" s="14" t="s">
        <v>153</v>
      </c>
      <c r="N48" s="13" t="s">
        <v>152</v>
      </c>
      <c r="O48" s="12">
        <v>7</v>
      </c>
      <c r="P48" s="12" t="s">
        <v>1045</v>
      </c>
      <c r="Q48" s="12" t="s">
        <v>174</v>
      </c>
      <c r="R48" s="12" t="s">
        <v>174</v>
      </c>
      <c r="S48" s="14" t="s">
        <v>166</v>
      </c>
      <c r="T48" s="12" t="s">
        <v>174</v>
      </c>
      <c r="U48" s="14" t="s">
        <v>782</v>
      </c>
      <c r="V48" s="14"/>
      <c r="W48" s="14"/>
      <c r="X48" s="12"/>
      <c r="Y48" s="12"/>
      <c r="Z48" s="14"/>
      <c r="AA48" s="12"/>
      <c r="AB48" s="15"/>
      <c r="AC48" s="16">
        <v>0</v>
      </c>
      <c r="AD48" s="16">
        <v>0</v>
      </c>
      <c r="AE48" s="16">
        <v>1</v>
      </c>
      <c r="AF48" s="16">
        <v>0</v>
      </c>
      <c r="AG48" s="16">
        <v>0</v>
      </c>
      <c r="AH48" s="14" t="s">
        <v>166</v>
      </c>
      <c r="AI48" s="54">
        <v>0</v>
      </c>
      <c r="AJ48" s="54">
        <v>0</v>
      </c>
      <c r="AK48" s="54">
        <v>1</v>
      </c>
      <c r="AL48" s="54">
        <v>0</v>
      </c>
      <c r="AM48" s="54">
        <v>0</v>
      </c>
      <c r="AN48" s="14" t="s">
        <v>166</v>
      </c>
    </row>
    <row r="49" spans="1:40" ht="47.25" x14ac:dyDescent="0.25">
      <c r="A49" s="12" t="s">
        <v>1216</v>
      </c>
      <c r="B49" s="12" t="s">
        <v>1217</v>
      </c>
      <c r="C49" s="12" t="s">
        <v>1126</v>
      </c>
      <c r="D49" s="13" t="s">
        <v>966</v>
      </c>
      <c r="E49" s="13" t="s">
        <v>60</v>
      </c>
      <c r="F49" s="13">
        <v>2305</v>
      </c>
      <c r="G49" s="13" t="s">
        <v>40</v>
      </c>
      <c r="H49" s="13" t="s">
        <v>185</v>
      </c>
      <c r="I49" s="12"/>
      <c r="J49" s="13">
        <v>682234128</v>
      </c>
      <c r="K49" s="13"/>
      <c r="L49" s="13" t="s">
        <v>186</v>
      </c>
      <c r="M49" s="14" t="s">
        <v>153</v>
      </c>
      <c r="N49" s="13" t="s">
        <v>152</v>
      </c>
      <c r="O49" s="12" t="s">
        <v>53</v>
      </c>
      <c r="P49" s="12" t="s">
        <v>1045</v>
      </c>
      <c r="Q49" s="12" t="s">
        <v>174</v>
      </c>
      <c r="R49" s="12" t="s">
        <v>174</v>
      </c>
      <c r="S49" s="14" t="s">
        <v>166</v>
      </c>
      <c r="T49" s="12" t="s">
        <v>174</v>
      </c>
      <c r="U49" s="14" t="s">
        <v>782</v>
      </c>
      <c r="V49" s="14"/>
      <c r="W49" s="14"/>
      <c r="X49" s="12"/>
      <c r="Y49" s="12"/>
      <c r="Z49" s="14"/>
      <c r="AA49" s="12"/>
      <c r="AB49" s="15"/>
      <c r="AC49" s="16">
        <v>0</v>
      </c>
      <c r="AD49" s="16">
        <v>0</v>
      </c>
      <c r="AE49" s="16">
        <v>1</v>
      </c>
      <c r="AF49" s="16">
        <v>0</v>
      </c>
      <c r="AG49" s="16">
        <v>0</v>
      </c>
      <c r="AH49" s="14" t="s">
        <v>166</v>
      </c>
      <c r="AI49" s="54">
        <v>0</v>
      </c>
      <c r="AJ49" s="54">
        <v>0</v>
      </c>
      <c r="AK49" s="54">
        <v>1</v>
      </c>
      <c r="AL49" s="54">
        <v>0</v>
      </c>
      <c r="AM49" s="54">
        <v>0</v>
      </c>
      <c r="AN49" s="14" t="s">
        <v>166</v>
      </c>
    </row>
    <row r="50" spans="1:40" ht="78.75" x14ac:dyDescent="0.25">
      <c r="A50" s="12" t="s">
        <v>1218</v>
      </c>
      <c r="B50" s="12" t="s">
        <v>1219</v>
      </c>
      <c r="C50" s="12" t="s">
        <v>1126</v>
      </c>
      <c r="D50" s="13" t="s">
        <v>964</v>
      </c>
      <c r="E50" s="13" t="s">
        <v>62</v>
      </c>
      <c r="F50" s="13">
        <v>873</v>
      </c>
      <c r="G50" s="13" t="s">
        <v>40</v>
      </c>
      <c r="H50" s="13" t="s">
        <v>211</v>
      </c>
      <c r="I50" s="12"/>
      <c r="J50" s="13">
        <v>650266917</v>
      </c>
      <c r="K50" s="13"/>
      <c r="L50" s="13" t="s">
        <v>212</v>
      </c>
      <c r="M50" s="14" t="s">
        <v>1074</v>
      </c>
      <c r="N50" s="13" t="s">
        <v>1069</v>
      </c>
      <c r="O50" s="12" t="s">
        <v>53</v>
      </c>
      <c r="P50" s="12" t="s">
        <v>174</v>
      </c>
      <c r="Q50" s="12" t="s">
        <v>868</v>
      </c>
      <c r="R50" s="12" t="s">
        <v>174</v>
      </c>
      <c r="S50" s="14" t="s">
        <v>166</v>
      </c>
      <c r="T50" s="12" t="s">
        <v>174</v>
      </c>
      <c r="U50" s="14" t="s">
        <v>781</v>
      </c>
      <c r="V50" s="14"/>
      <c r="W50" s="14"/>
      <c r="X50" s="12"/>
      <c r="Y50" s="12"/>
      <c r="Z50" s="14"/>
      <c r="AA50" s="12"/>
      <c r="AB50" s="15"/>
      <c r="AC50" s="16">
        <v>0</v>
      </c>
      <c r="AD50" s="16">
        <v>0</v>
      </c>
      <c r="AE50" s="16">
        <v>0</v>
      </c>
      <c r="AF50" s="16">
        <v>0</v>
      </c>
      <c r="AG50" s="16">
        <v>1</v>
      </c>
      <c r="AH50" s="14" t="s">
        <v>166</v>
      </c>
      <c r="AI50" s="54">
        <v>0</v>
      </c>
      <c r="AJ50" s="54">
        <v>0</v>
      </c>
      <c r="AK50" s="54">
        <v>1</v>
      </c>
      <c r="AL50" s="54">
        <v>0</v>
      </c>
      <c r="AM50" s="54">
        <v>1</v>
      </c>
      <c r="AN50" s="14" t="s">
        <v>166</v>
      </c>
    </row>
    <row r="51" spans="1:40" ht="78.75" x14ac:dyDescent="0.25">
      <c r="A51" s="12" t="s">
        <v>1218</v>
      </c>
      <c r="B51" s="12" t="s">
        <v>1219</v>
      </c>
      <c r="C51" s="12" t="s">
        <v>1126</v>
      </c>
      <c r="D51" s="13" t="s">
        <v>964</v>
      </c>
      <c r="E51" s="13" t="s">
        <v>62</v>
      </c>
      <c r="F51" s="13">
        <v>119</v>
      </c>
      <c r="G51" s="13" t="s">
        <v>40</v>
      </c>
      <c r="H51" s="13" t="s">
        <v>199</v>
      </c>
      <c r="I51" s="12"/>
      <c r="J51" s="13">
        <v>660416435</v>
      </c>
      <c r="K51" s="13"/>
      <c r="L51" s="13" t="s">
        <v>200</v>
      </c>
      <c r="M51" s="14" t="s">
        <v>1074</v>
      </c>
      <c r="N51" s="13" t="s">
        <v>1069</v>
      </c>
      <c r="O51" s="12" t="s">
        <v>53</v>
      </c>
      <c r="P51" s="12" t="s">
        <v>1045</v>
      </c>
      <c r="Q51" s="12" t="s">
        <v>174</v>
      </c>
      <c r="R51" s="12" t="s">
        <v>174</v>
      </c>
      <c r="S51" s="14" t="s">
        <v>166</v>
      </c>
      <c r="T51" s="12" t="s">
        <v>174</v>
      </c>
      <c r="U51" s="14" t="s">
        <v>781</v>
      </c>
      <c r="V51" s="14"/>
      <c r="W51" s="14"/>
      <c r="X51" s="12"/>
      <c r="Y51" s="12"/>
      <c r="Z51" s="14"/>
      <c r="AA51" s="12"/>
      <c r="AB51" s="15"/>
      <c r="AC51" s="16">
        <v>0</v>
      </c>
      <c r="AD51" s="16">
        <v>0</v>
      </c>
      <c r="AE51" s="16">
        <v>0</v>
      </c>
      <c r="AF51" s="16">
        <v>1</v>
      </c>
      <c r="AG51" s="16">
        <v>0</v>
      </c>
      <c r="AH51" s="14" t="s">
        <v>166</v>
      </c>
      <c r="AI51" s="54">
        <v>0</v>
      </c>
      <c r="AJ51" s="54">
        <v>0</v>
      </c>
      <c r="AK51" s="54">
        <v>1</v>
      </c>
      <c r="AL51" s="54">
        <v>1</v>
      </c>
      <c r="AM51" s="54">
        <v>0</v>
      </c>
      <c r="AN51" s="14" t="s">
        <v>166</v>
      </c>
    </row>
    <row r="52" spans="1:40" ht="47.25" x14ac:dyDescent="0.25">
      <c r="A52" s="12" t="s">
        <v>1220</v>
      </c>
      <c r="B52" s="12" t="s">
        <v>1221</v>
      </c>
      <c r="C52" s="12" t="s">
        <v>1126</v>
      </c>
      <c r="D52" s="13" t="s">
        <v>966</v>
      </c>
      <c r="E52" s="13" t="s">
        <v>60</v>
      </c>
      <c r="F52" s="13">
        <v>2351</v>
      </c>
      <c r="G52" s="13" t="s">
        <v>41</v>
      </c>
      <c r="H52" s="13" t="s">
        <v>181</v>
      </c>
      <c r="I52" s="12"/>
      <c r="J52" s="13">
        <v>686369618</v>
      </c>
      <c r="K52" s="13"/>
      <c r="L52" s="13" t="s">
        <v>182</v>
      </c>
      <c r="M52" s="14" t="s">
        <v>153</v>
      </c>
      <c r="N52" s="13" t="s">
        <v>152</v>
      </c>
      <c r="O52" s="12" t="s">
        <v>53</v>
      </c>
      <c r="P52" s="12" t="s">
        <v>1045</v>
      </c>
      <c r="Q52" s="12" t="s">
        <v>174</v>
      </c>
      <c r="R52" s="12" t="s">
        <v>174</v>
      </c>
      <c r="S52" s="14" t="s">
        <v>166</v>
      </c>
      <c r="T52" s="12" t="s">
        <v>174</v>
      </c>
      <c r="U52" s="14" t="s">
        <v>782</v>
      </c>
      <c r="V52" s="14"/>
      <c r="W52" s="14"/>
      <c r="X52" s="12"/>
      <c r="Y52" s="12"/>
      <c r="Z52" s="14"/>
      <c r="AA52" s="12"/>
      <c r="AB52" s="15"/>
      <c r="AC52" s="16">
        <v>0</v>
      </c>
      <c r="AD52" s="16">
        <v>0</v>
      </c>
      <c r="AE52" s="16">
        <v>1</v>
      </c>
      <c r="AF52" s="16">
        <v>0</v>
      </c>
      <c r="AG52" s="16">
        <v>0</v>
      </c>
      <c r="AH52" s="14" t="s">
        <v>166</v>
      </c>
      <c r="AI52" s="54">
        <v>0</v>
      </c>
      <c r="AJ52" s="54">
        <v>0</v>
      </c>
      <c r="AK52" s="54">
        <v>1</v>
      </c>
      <c r="AL52" s="54">
        <v>0</v>
      </c>
      <c r="AM52" s="54">
        <v>0</v>
      </c>
      <c r="AN52" s="14" t="s">
        <v>166</v>
      </c>
    </row>
    <row r="53" spans="1:40" ht="47.25" x14ac:dyDescent="0.25">
      <c r="A53" s="12" t="s">
        <v>1222</v>
      </c>
      <c r="B53" s="12" t="s">
        <v>1223</v>
      </c>
      <c r="C53" s="12" t="s">
        <v>1126</v>
      </c>
      <c r="D53" s="13" t="s">
        <v>965</v>
      </c>
      <c r="E53" s="13" t="s">
        <v>60</v>
      </c>
      <c r="F53" s="13">
        <v>2463</v>
      </c>
      <c r="G53" s="13" t="s">
        <v>41</v>
      </c>
      <c r="H53" s="13" t="s">
        <v>187</v>
      </c>
      <c r="I53" s="12"/>
      <c r="J53" s="13">
        <v>660746637</v>
      </c>
      <c r="K53" s="13"/>
      <c r="L53" s="13" t="s">
        <v>188</v>
      </c>
      <c r="M53" s="14" t="s">
        <v>153</v>
      </c>
      <c r="N53" s="13" t="s">
        <v>152</v>
      </c>
      <c r="O53" s="12">
        <v>7</v>
      </c>
      <c r="P53" s="12" t="s">
        <v>1045</v>
      </c>
      <c r="Q53" s="12" t="s">
        <v>174</v>
      </c>
      <c r="R53" s="12" t="s">
        <v>174</v>
      </c>
      <c r="S53" s="14" t="s">
        <v>166</v>
      </c>
      <c r="T53" s="12" t="s">
        <v>174</v>
      </c>
      <c r="U53" s="14" t="s">
        <v>782</v>
      </c>
      <c r="V53" s="14"/>
      <c r="W53" s="14"/>
      <c r="X53" s="12"/>
      <c r="Y53" s="12"/>
      <c r="Z53" s="14"/>
      <c r="AA53" s="12"/>
      <c r="AB53" s="15"/>
      <c r="AC53" s="16">
        <v>0</v>
      </c>
      <c r="AD53" s="16">
        <v>0</v>
      </c>
      <c r="AE53" s="16">
        <v>1</v>
      </c>
      <c r="AF53" s="16">
        <v>0</v>
      </c>
      <c r="AG53" s="16">
        <v>0</v>
      </c>
      <c r="AH53" s="14" t="s">
        <v>166</v>
      </c>
      <c r="AI53" s="54">
        <v>0</v>
      </c>
      <c r="AJ53" s="54">
        <v>0</v>
      </c>
      <c r="AK53" s="54">
        <v>1</v>
      </c>
      <c r="AL53" s="54">
        <v>0</v>
      </c>
      <c r="AM53" s="54">
        <v>0</v>
      </c>
      <c r="AN53" s="14" t="s">
        <v>166</v>
      </c>
    </row>
    <row r="54" spans="1:40" ht="78.75" x14ac:dyDescent="0.25">
      <c r="A54" s="12" t="s">
        <v>1224</v>
      </c>
      <c r="B54" s="12" t="s">
        <v>1225</v>
      </c>
      <c r="C54" s="12" t="s">
        <v>1126</v>
      </c>
      <c r="D54" s="13" t="s">
        <v>964</v>
      </c>
      <c r="E54" s="13" t="s">
        <v>61</v>
      </c>
      <c r="F54" s="13">
        <v>4796</v>
      </c>
      <c r="G54" s="13" t="s">
        <v>41</v>
      </c>
      <c r="H54" s="13" t="s">
        <v>206</v>
      </c>
      <c r="I54" s="12"/>
      <c r="J54" s="13">
        <v>682485929</v>
      </c>
      <c r="K54" s="13"/>
      <c r="L54" s="13" t="s">
        <v>891</v>
      </c>
      <c r="M54" s="14" t="s">
        <v>1074</v>
      </c>
      <c r="N54" s="13" t="s">
        <v>1069</v>
      </c>
      <c r="O54" s="12">
        <v>7</v>
      </c>
      <c r="P54" s="12" t="s">
        <v>174</v>
      </c>
      <c r="Q54" s="12" t="s">
        <v>868</v>
      </c>
      <c r="R54" s="12" t="s">
        <v>174</v>
      </c>
      <c r="S54" s="14" t="s">
        <v>166</v>
      </c>
      <c r="T54" s="12" t="s">
        <v>1110</v>
      </c>
      <c r="U54" s="14" t="s">
        <v>781</v>
      </c>
      <c r="V54" s="14"/>
      <c r="W54" s="14"/>
      <c r="X54" s="12"/>
      <c r="Y54" s="12"/>
      <c r="Z54" s="14"/>
      <c r="AA54" s="12"/>
      <c r="AB54" s="15"/>
      <c r="AC54" s="16">
        <v>0</v>
      </c>
      <c r="AD54" s="16">
        <v>0</v>
      </c>
      <c r="AE54" s="16">
        <v>0</v>
      </c>
      <c r="AF54" s="16">
        <v>0</v>
      </c>
      <c r="AG54" s="16">
        <v>1</v>
      </c>
      <c r="AH54" s="14" t="s">
        <v>166</v>
      </c>
      <c r="AI54" s="54">
        <v>0</v>
      </c>
      <c r="AJ54" s="54">
        <v>0</v>
      </c>
      <c r="AK54" s="54">
        <v>0</v>
      </c>
      <c r="AL54" s="54">
        <v>0</v>
      </c>
      <c r="AM54" s="54">
        <v>1</v>
      </c>
      <c r="AN54" s="14" t="s">
        <v>166</v>
      </c>
    </row>
    <row r="55" spans="1:40" ht="47.25" x14ac:dyDescent="0.25">
      <c r="A55" s="12" t="s">
        <v>1226</v>
      </c>
      <c r="B55" s="12" t="s">
        <v>1227</v>
      </c>
      <c r="C55" s="12" t="s">
        <v>1126</v>
      </c>
      <c r="D55" s="13" t="s">
        <v>967</v>
      </c>
      <c r="E55" s="13" t="s">
        <v>60</v>
      </c>
      <c r="F55" s="13">
        <v>2293</v>
      </c>
      <c r="G55" s="13" t="s">
        <v>45</v>
      </c>
      <c r="H55" s="13" t="s">
        <v>193</v>
      </c>
      <c r="I55" s="12"/>
      <c r="J55" s="13">
        <v>660861992</v>
      </c>
      <c r="K55" s="13"/>
      <c r="L55" s="13" t="s">
        <v>194</v>
      </c>
      <c r="M55" s="14" t="s">
        <v>153</v>
      </c>
      <c r="N55" s="13" t="s">
        <v>152</v>
      </c>
      <c r="O55" s="12">
        <v>7</v>
      </c>
      <c r="P55" s="12" t="s">
        <v>1045</v>
      </c>
      <c r="Q55" s="12" t="s">
        <v>174</v>
      </c>
      <c r="R55" s="12" t="s">
        <v>174</v>
      </c>
      <c r="S55" s="14" t="s">
        <v>166</v>
      </c>
      <c r="T55" s="12" t="s">
        <v>174</v>
      </c>
      <c r="U55" s="14" t="s">
        <v>782</v>
      </c>
      <c r="V55" s="14"/>
      <c r="W55" s="14"/>
      <c r="X55" s="12"/>
      <c r="Y55" s="12"/>
      <c r="Z55" s="14"/>
      <c r="AA55" s="12"/>
      <c r="AB55" s="15"/>
      <c r="AC55" s="16">
        <v>0</v>
      </c>
      <c r="AD55" s="16">
        <v>0</v>
      </c>
      <c r="AE55" s="16">
        <v>1</v>
      </c>
      <c r="AF55" s="16">
        <v>0</v>
      </c>
      <c r="AG55" s="16">
        <v>0</v>
      </c>
      <c r="AH55" s="14" t="s">
        <v>166</v>
      </c>
      <c r="AI55" s="54">
        <v>0</v>
      </c>
      <c r="AJ55" s="54">
        <v>0</v>
      </c>
      <c r="AK55" s="54">
        <v>1</v>
      </c>
      <c r="AL55" s="54">
        <v>0</v>
      </c>
      <c r="AM55" s="54">
        <v>0</v>
      </c>
      <c r="AN55" s="14" t="s">
        <v>166</v>
      </c>
    </row>
    <row r="56" spans="1:40" ht="47.25" x14ac:dyDescent="0.25">
      <c r="A56" s="12" t="s">
        <v>1228</v>
      </c>
      <c r="B56" s="12" t="s">
        <v>1229</v>
      </c>
      <c r="C56" s="12" t="s">
        <v>1126</v>
      </c>
      <c r="D56" s="13" t="s">
        <v>965</v>
      </c>
      <c r="E56" s="13" t="s">
        <v>60</v>
      </c>
      <c r="F56" s="13">
        <v>3691</v>
      </c>
      <c r="G56" s="13" t="s">
        <v>45</v>
      </c>
      <c r="H56" s="13" t="s">
        <v>175</v>
      </c>
      <c r="I56" s="12"/>
      <c r="J56" s="13">
        <v>689994110</v>
      </c>
      <c r="K56" s="13"/>
      <c r="L56" s="13" t="s">
        <v>176</v>
      </c>
      <c r="M56" s="14" t="s">
        <v>153</v>
      </c>
      <c r="N56" s="13" t="s">
        <v>152</v>
      </c>
      <c r="O56" s="12" t="s">
        <v>53</v>
      </c>
      <c r="P56" s="12" t="s">
        <v>1045</v>
      </c>
      <c r="Q56" s="12" t="s">
        <v>174</v>
      </c>
      <c r="R56" s="12" t="s">
        <v>174</v>
      </c>
      <c r="S56" s="14" t="s">
        <v>166</v>
      </c>
      <c r="T56" s="12" t="s">
        <v>1110</v>
      </c>
      <c r="U56" s="14" t="s">
        <v>782</v>
      </c>
      <c r="V56" s="14"/>
      <c r="W56" s="14"/>
      <c r="X56" s="12"/>
      <c r="Y56" s="12"/>
      <c r="Z56" s="14"/>
      <c r="AA56" s="12"/>
      <c r="AB56" s="15"/>
      <c r="AC56" s="16">
        <v>0</v>
      </c>
      <c r="AD56" s="16">
        <v>0</v>
      </c>
      <c r="AE56" s="16">
        <v>1</v>
      </c>
      <c r="AF56" s="16">
        <v>0</v>
      </c>
      <c r="AG56" s="16">
        <v>0</v>
      </c>
      <c r="AH56" s="14" t="s">
        <v>166</v>
      </c>
      <c r="AI56" s="54">
        <v>0</v>
      </c>
      <c r="AJ56" s="54">
        <v>0</v>
      </c>
      <c r="AK56" s="54">
        <v>1</v>
      </c>
      <c r="AL56" s="54">
        <v>0</v>
      </c>
      <c r="AM56" s="54">
        <v>0</v>
      </c>
      <c r="AN56" s="14" t="s">
        <v>166</v>
      </c>
    </row>
    <row r="57" spans="1:40" ht="78.75" x14ac:dyDescent="0.25">
      <c r="A57" s="12" t="s">
        <v>1230</v>
      </c>
      <c r="B57" s="12" t="s">
        <v>1231</v>
      </c>
      <c r="C57" s="12" t="s">
        <v>1126</v>
      </c>
      <c r="D57" s="13" t="s">
        <v>964</v>
      </c>
      <c r="E57" s="13" t="s">
        <v>62</v>
      </c>
      <c r="F57" s="13">
        <v>1578</v>
      </c>
      <c r="G57" s="13" t="s">
        <v>45</v>
      </c>
      <c r="H57" s="13" t="s">
        <v>215</v>
      </c>
      <c r="I57" s="12"/>
      <c r="J57" s="13">
        <v>682832365</v>
      </c>
      <c r="K57" s="13"/>
      <c r="L57" s="13" t="s">
        <v>216</v>
      </c>
      <c r="M57" s="14" t="s">
        <v>1074</v>
      </c>
      <c r="N57" s="13" t="s">
        <v>1069</v>
      </c>
      <c r="O57" s="12" t="s">
        <v>53</v>
      </c>
      <c r="P57" s="12" t="s">
        <v>174</v>
      </c>
      <c r="Q57" s="12" t="s">
        <v>868</v>
      </c>
      <c r="R57" s="12" t="s">
        <v>174</v>
      </c>
      <c r="S57" s="14" t="s">
        <v>166</v>
      </c>
      <c r="T57" s="12" t="s">
        <v>1110</v>
      </c>
      <c r="U57" s="14" t="s">
        <v>781</v>
      </c>
      <c r="V57" s="14"/>
      <c r="W57" s="14"/>
      <c r="X57" s="12"/>
      <c r="Y57" s="12"/>
      <c r="Z57" s="14"/>
      <c r="AA57" s="12"/>
      <c r="AB57" s="15"/>
      <c r="AC57" s="16">
        <v>0</v>
      </c>
      <c r="AD57" s="16">
        <v>0</v>
      </c>
      <c r="AE57" s="16">
        <v>0</v>
      </c>
      <c r="AF57" s="16">
        <v>0</v>
      </c>
      <c r="AG57" s="16">
        <v>0</v>
      </c>
      <c r="AH57" s="14" t="s">
        <v>174</v>
      </c>
      <c r="AI57" s="54">
        <v>0</v>
      </c>
      <c r="AJ57" s="54">
        <v>0</v>
      </c>
      <c r="AK57" s="54">
        <v>1</v>
      </c>
      <c r="AL57" s="54">
        <v>0</v>
      </c>
      <c r="AM57" s="54">
        <v>0</v>
      </c>
      <c r="AN57" s="14" t="s">
        <v>166</v>
      </c>
    </row>
    <row r="58" spans="1:40" ht="78.75" x14ac:dyDescent="0.25">
      <c r="A58" s="12" t="s">
        <v>1230</v>
      </c>
      <c r="B58" s="12" t="s">
        <v>1231</v>
      </c>
      <c r="C58" s="12" t="s">
        <v>1126</v>
      </c>
      <c r="D58" s="13" t="s">
        <v>964</v>
      </c>
      <c r="E58" s="13" t="s">
        <v>62</v>
      </c>
      <c r="F58" s="13">
        <v>4028</v>
      </c>
      <c r="G58" s="13" t="s">
        <v>45</v>
      </c>
      <c r="H58" s="13" t="s">
        <v>217</v>
      </c>
      <c r="I58" s="12"/>
      <c r="J58" s="13">
        <v>682852668</v>
      </c>
      <c r="K58" s="13"/>
      <c r="L58" s="13" t="s">
        <v>801</v>
      </c>
      <c r="M58" s="14" t="s">
        <v>1074</v>
      </c>
      <c r="N58" s="13" t="s">
        <v>1069</v>
      </c>
      <c r="O58" s="12" t="s">
        <v>53</v>
      </c>
      <c r="P58" s="12" t="s">
        <v>1045</v>
      </c>
      <c r="Q58" s="12" t="s">
        <v>174</v>
      </c>
      <c r="R58" s="12" t="s">
        <v>174</v>
      </c>
      <c r="S58" s="14" t="s">
        <v>166</v>
      </c>
      <c r="T58" s="12" t="s">
        <v>174</v>
      </c>
      <c r="U58" s="14" t="s">
        <v>781</v>
      </c>
      <c r="V58" s="14"/>
      <c r="W58" s="14"/>
      <c r="X58" s="12"/>
      <c r="Y58" s="12"/>
      <c r="Z58" s="14"/>
      <c r="AA58" s="12"/>
      <c r="AB58" s="15"/>
      <c r="AC58" s="16">
        <v>0</v>
      </c>
      <c r="AD58" s="16">
        <v>0</v>
      </c>
      <c r="AE58" s="16">
        <v>0</v>
      </c>
      <c r="AF58" s="16">
        <v>1</v>
      </c>
      <c r="AG58" s="16">
        <v>0</v>
      </c>
      <c r="AH58" s="14" t="s">
        <v>166</v>
      </c>
      <c r="AI58" s="54">
        <v>0</v>
      </c>
      <c r="AJ58" s="54">
        <v>0</v>
      </c>
      <c r="AK58" s="54">
        <v>0</v>
      </c>
      <c r="AL58" s="54">
        <v>1</v>
      </c>
      <c r="AM58" s="54">
        <v>0</v>
      </c>
      <c r="AN58" s="14" t="s">
        <v>166</v>
      </c>
    </row>
    <row r="59" spans="1:40" ht="47.25" x14ac:dyDescent="0.25">
      <c r="A59" s="12" t="s">
        <v>1232</v>
      </c>
      <c r="B59" s="12" t="s">
        <v>1233</v>
      </c>
      <c r="C59" s="12" t="s">
        <v>1126</v>
      </c>
      <c r="D59" s="13" t="s">
        <v>967</v>
      </c>
      <c r="E59" s="13" t="s">
        <v>60</v>
      </c>
      <c r="F59" s="13">
        <v>2475</v>
      </c>
      <c r="G59" s="13" t="s">
        <v>35</v>
      </c>
      <c r="H59" s="13" t="s">
        <v>189</v>
      </c>
      <c r="I59" s="12"/>
      <c r="J59" s="13">
        <v>659597400</v>
      </c>
      <c r="K59" s="13"/>
      <c r="L59" s="13" t="s">
        <v>190</v>
      </c>
      <c r="M59" s="14" t="s">
        <v>153</v>
      </c>
      <c r="N59" s="13" t="s">
        <v>152</v>
      </c>
      <c r="O59" s="12">
        <v>7</v>
      </c>
      <c r="P59" s="12" t="s">
        <v>1045</v>
      </c>
      <c r="Q59" s="12" t="s">
        <v>174</v>
      </c>
      <c r="R59" s="12" t="s">
        <v>174</v>
      </c>
      <c r="S59" s="14" t="s">
        <v>166</v>
      </c>
      <c r="T59" s="12" t="s">
        <v>1110</v>
      </c>
      <c r="U59" s="14" t="s">
        <v>782</v>
      </c>
      <c r="V59" s="14"/>
      <c r="W59" s="14"/>
      <c r="X59" s="12"/>
      <c r="Y59" s="12"/>
      <c r="Z59" s="14"/>
      <c r="AA59" s="12"/>
      <c r="AB59" s="15"/>
      <c r="AC59" s="16">
        <v>0</v>
      </c>
      <c r="AD59" s="16">
        <v>0</v>
      </c>
      <c r="AE59" s="16">
        <v>1</v>
      </c>
      <c r="AF59" s="16">
        <v>0</v>
      </c>
      <c r="AG59" s="16">
        <v>0</v>
      </c>
      <c r="AH59" s="14" t="s">
        <v>166</v>
      </c>
      <c r="AI59" s="54">
        <v>0</v>
      </c>
      <c r="AJ59" s="54">
        <v>0</v>
      </c>
      <c r="AK59" s="54">
        <v>1</v>
      </c>
      <c r="AL59" s="54">
        <v>0</v>
      </c>
      <c r="AM59" s="54">
        <v>0</v>
      </c>
      <c r="AN59" s="14" t="s">
        <v>166</v>
      </c>
    </row>
    <row r="60" spans="1:40" ht="47.25" x14ac:dyDescent="0.25">
      <c r="A60" s="12" t="s">
        <v>1234</v>
      </c>
      <c r="B60" s="12" t="s">
        <v>1235</v>
      </c>
      <c r="C60" s="12" t="s">
        <v>1126</v>
      </c>
      <c r="D60" s="13" t="s">
        <v>966</v>
      </c>
      <c r="E60" s="13" t="s">
        <v>60</v>
      </c>
      <c r="F60" s="13">
        <v>3691</v>
      </c>
      <c r="G60" s="13" t="s">
        <v>35</v>
      </c>
      <c r="H60" s="13" t="s">
        <v>175</v>
      </c>
      <c r="I60" s="12"/>
      <c r="J60" s="13">
        <v>689994110</v>
      </c>
      <c r="K60" s="13"/>
      <c r="L60" s="13" t="s">
        <v>176</v>
      </c>
      <c r="M60" s="14" t="s">
        <v>153</v>
      </c>
      <c r="N60" s="13" t="s">
        <v>152</v>
      </c>
      <c r="O60" s="12" t="s">
        <v>53</v>
      </c>
      <c r="P60" s="12" t="s">
        <v>1045</v>
      </c>
      <c r="Q60" s="12" t="s">
        <v>174</v>
      </c>
      <c r="R60" s="12" t="s">
        <v>174</v>
      </c>
      <c r="S60" s="14" t="s">
        <v>166</v>
      </c>
      <c r="T60" s="12" t="s">
        <v>1110</v>
      </c>
      <c r="U60" s="14" t="s">
        <v>782</v>
      </c>
      <c r="V60" s="14"/>
      <c r="W60" s="14"/>
      <c r="X60" s="12"/>
      <c r="Y60" s="12"/>
      <c r="Z60" s="14"/>
      <c r="AA60" s="12"/>
      <c r="AB60" s="15"/>
      <c r="AC60" s="16">
        <v>0</v>
      </c>
      <c r="AD60" s="16">
        <v>0</v>
      </c>
      <c r="AE60" s="16">
        <v>1</v>
      </c>
      <c r="AF60" s="16">
        <v>0</v>
      </c>
      <c r="AG60" s="16">
        <v>0</v>
      </c>
      <c r="AH60" s="14" t="s">
        <v>166</v>
      </c>
      <c r="AI60" s="54">
        <v>0</v>
      </c>
      <c r="AJ60" s="54">
        <v>0</v>
      </c>
      <c r="AK60" s="54">
        <v>0</v>
      </c>
      <c r="AL60" s="54">
        <v>0</v>
      </c>
      <c r="AM60" s="54">
        <v>0</v>
      </c>
      <c r="AN60" s="14" t="s">
        <v>174</v>
      </c>
    </row>
    <row r="61" spans="1:40" ht="47.25" x14ac:dyDescent="0.25">
      <c r="A61" s="12" t="s">
        <v>1236</v>
      </c>
      <c r="B61" s="12" t="s">
        <v>1237</v>
      </c>
      <c r="C61" s="12" t="s">
        <v>1126</v>
      </c>
      <c r="D61" s="13" t="s">
        <v>965</v>
      </c>
      <c r="E61" s="13" t="s">
        <v>60</v>
      </c>
      <c r="F61" s="13">
        <v>2322</v>
      </c>
      <c r="G61" s="13" t="s">
        <v>35</v>
      </c>
      <c r="H61" s="13" t="s">
        <v>179</v>
      </c>
      <c r="I61" s="12"/>
      <c r="J61" s="13">
        <v>689870157</v>
      </c>
      <c r="K61" s="13"/>
      <c r="L61" s="13" t="s">
        <v>180</v>
      </c>
      <c r="M61" s="14" t="s">
        <v>153</v>
      </c>
      <c r="N61" s="13" t="s">
        <v>152</v>
      </c>
      <c r="O61" s="12" t="s">
        <v>53</v>
      </c>
      <c r="P61" s="12" t="s">
        <v>1045</v>
      </c>
      <c r="Q61" s="12" t="s">
        <v>174</v>
      </c>
      <c r="R61" s="12" t="s">
        <v>174</v>
      </c>
      <c r="S61" s="14" t="s">
        <v>166</v>
      </c>
      <c r="T61" s="12" t="s">
        <v>174</v>
      </c>
      <c r="U61" s="14" t="s">
        <v>782</v>
      </c>
      <c r="V61" s="14"/>
      <c r="W61" s="14"/>
      <c r="X61" s="12"/>
      <c r="Y61" s="12"/>
      <c r="Z61" s="14"/>
      <c r="AA61" s="12"/>
      <c r="AB61" s="15"/>
      <c r="AC61" s="16">
        <v>0</v>
      </c>
      <c r="AD61" s="16">
        <v>0</v>
      </c>
      <c r="AE61" s="16">
        <v>1</v>
      </c>
      <c r="AF61" s="16">
        <v>0</v>
      </c>
      <c r="AG61" s="16">
        <v>0</v>
      </c>
      <c r="AH61" s="14" t="s">
        <v>166</v>
      </c>
      <c r="AI61" s="54">
        <v>0</v>
      </c>
      <c r="AJ61" s="54">
        <v>0</v>
      </c>
      <c r="AK61" s="54">
        <v>0</v>
      </c>
      <c r="AL61" s="54">
        <v>0</v>
      </c>
      <c r="AM61" s="54">
        <v>0</v>
      </c>
      <c r="AN61" s="14" t="s">
        <v>174</v>
      </c>
    </row>
    <row r="62" spans="1:40" ht="78.75" x14ac:dyDescent="0.25">
      <c r="A62" s="12" t="s">
        <v>1238</v>
      </c>
      <c r="B62" s="12" t="s">
        <v>1239</v>
      </c>
      <c r="C62" s="12" t="s">
        <v>1126</v>
      </c>
      <c r="D62" s="13" t="s">
        <v>964</v>
      </c>
      <c r="E62" s="13" t="s">
        <v>61</v>
      </c>
      <c r="F62" s="13">
        <v>4800</v>
      </c>
      <c r="G62" s="13" t="s">
        <v>35</v>
      </c>
      <c r="H62" s="13" t="s">
        <v>777</v>
      </c>
      <c r="I62" s="12"/>
      <c r="J62" s="13">
        <v>659209238</v>
      </c>
      <c r="K62" s="13"/>
      <c r="L62" s="13" t="s">
        <v>778</v>
      </c>
      <c r="M62" s="14" t="s">
        <v>1074</v>
      </c>
      <c r="N62" s="13" t="s">
        <v>1069</v>
      </c>
      <c r="O62" s="12">
        <v>7</v>
      </c>
      <c r="P62" s="12" t="s">
        <v>174</v>
      </c>
      <c r="Q62" s="12" t="s">
        <v>868</v>
      </c>
      <c r="R62" s="12" t="s">
        <v>174</v>
      </c>
      <c r="S62" s="14" t="s">
        <v>166</v>
      </c>
      <c r="T62" s="12" t="s">
        <v>1110</v>
      </c>
      <c r="U62" s="14" t="s">
        <v>781</v>
      </c>
      <c r="V62" s="14"/>
      <c r="W62" s="14"/>
      <c r="X62" s="12"/>
      <c r="Y62" s="12"/>
      <c r="Z62" s="14"/>
      <c r="AA62" s="12"/>
      <c r="AB62" s="15"/>
      <c r="AC62" s="16">
        <v>0</v>
      </c>
      <c r="AD62" s="16">
        <v>0</v>
      </c>
      <c r="AE62" s="16">
        <v>0</v>
      </c>
      <c r="AF62" s="16">
        <v>0</v>
      </c>
      <c r="AG62" s="16">
        <v>1</v>
      </c>
      <c r="AH62" s="14" t="s">
        <v>166</v>
      </c>
      <c r="AI62" s="54">
        <v>0</v>
      </c>
      <c r="AJ62" s="54">
        <v>0</v>
      </c>
      <c r="AK62" s="54">
        <v>0</v>
      </c>
      <c r="AL62" s="54">
        <v>1</v>
      </c>
      <c r="AM62" s="54">
        <v>1</v>
      </c>
      <c r="AN62" s="14" t="s">
        <v>166</v>
      </c>
    </row>
    <row r="63" spans="1:40" ht="47.25" x14ac:dyDescent="0.25">
      <c r="A63" s="12" t="s">
        <v>1240</v>
      </c>
      <c r="B63" s="12" t="s">
        <v>1241</v>
      </c>
      <c r="C63" s="12" t="s">
        <v>1127</v>
      </c>
      <c r="D63" s="13" t="s">
        <v>26</v>
      </c>
      <c r="E63" s="13" t="s">
        <v>26</v>
      </c>
      <c r="F63" s="13">
        <v>2532</v>
      </c>
      <c r="G63" s="13" t="s">
        <v>27</v>
      </c>
      <c r="H63" s="13" t="s">
        <v>245</v>
      </c>
      <c r="I63" s="12"/>
      <c r="J63" s="13">
        <v>607377248</v>
      </c>
      <c r="K63" s="13"/>
      <c r="L63" s="13" t="s">
        <v>246</v>
      </c>
      <c r="M63" s="14" t="s">
        <v>1073</v>
      </c>
      <c r="N63" s="13" t="s">
        <v>1068</v>
      </c>
      <c r="O63" s="12">
        <v>6</v>
      </c>
      <c r="P63" s="12" t="s">
        <v>174</v>
      </c>
      <c r="Q63" s="12" t="s">
        <v>174</v>
      </c>
      <c r="R63" s="12" t="s">
        <v>867</v>
      </c>
      <c r="S63" s="14" t="s">
        <v>166</v>
      </c>
      <c r="T63" s="12" t="s">
        <v>1110</v>
      </c>
      <c r="U63" s="14" t="s">
        <v>780</v>
      </c>
      <c r="V63" s="14"/>
      <c r="W63" s="14"/>
      <c r="X63" s="12"/>
      <c r="Y63" s="12"/>
      <c r="Z63" s="14"/>
      <c r="AA63" s="12"/>
      <c r="AB63" s="15"/>
      <c r="AC63" s="16" t="s">
        <v>111</v>
      </c>
      <c r="AD63" s="16" t="s">
        <v>111</v>
      </c>
      <c r="AE63" s="16" t="s">
        <v>111</v>
      </c>
      <c r="AF63" s="16" t="s">
        <v>111</v>
      </c>
      <c r="AG63" s="16" t="s">
        <v>111</v>
      </c>
      <c r="AH63" s="14" t="s">
        <v>1149</v>
      </c>
      <c r="AI63" s="54">
        <v>0</v>
      </c>
      <c r="AJ63" s="54">
        <v>0</v>
      </c>
      <c r="AK63" s="54">
        <v>0</v>
      </c>
      <c r="AL63" s="54">
        <v>0</v>
      </c>
      <c r="AM63" s="54">
        <v>1</v>
      </c>
      <c r="AN63" s="14" t="s">
        <v>166</v>
      </c>
    </row>
    <row r="64" spans="1:40" ht="47.25" x14ac:dyDescent="0.25">
      <c r="A64" s="12" t="s">
        <v>1242</v>
      </c>
      <c r="B64" s="12" t="s">
        <v>1243</v>
      </c>
      <c r="C64" s="12" t="s">
        <v>1127</v>
      </c>
      <c r="D64" s="13" t="s">
        <v>28</v>
      </c>
      <c r="E64" s="13" t="s">
        <v>28</v>
      </c>
      <c r="F64" s="13">
        <v>3566</v>
      </c>
      <c r="G64" s="13" t="s">
        <v>29</v>
      </c>
      <c r="H64" s="13" t="s">
        <v>247</v>
      </c>
      <c r="I64" s="12"/>
      <c r="J64" s="13">
        <v>690760964</v>
      </c>
      <c r="K64" s="13"/>
      <c r="L64" s="13" t="s">
        <v>248</v>
      </c>
      <c r="M64" s="14" t="s">
        <v>1073</v>
      </c>
      <c r="N64" s="13" t="s">
        <v>1068</v>
      </c>
      <c r="O64" s="12">
        <v>5</v>
      </c>
      <c r="P64" s="12" t="s">
        <v>174</v>
      </c>
      <c r="Q64" s="12" t="s">
        <v>868</v>
      </c>
      <c r="R64" s="12" t="s">
        <v>174</v>
      </c>
      <c r="S64" s="14" t="s">
        <v>166</v>
      </c>
      <c r="T64" s="12" t="s">
        <v>1110</v>
      </c>
      <c r="U64" s="14" t="s">
        <v>780</v>
      </c>
      <c r="V64" s="14"/>
      <c r="W64" s="14"/>
      <c r="X64" s="12"/>
      <c r="Y64" s="12"/>
      <c r="Z64" s="14"/>
      <c r="AA64" s="12"/>
      <c r="AB64" s="15"/>
      <c r="AC64" s="16" t="s">
        <v>111</v>
      </c>
      <c r="AD64" s="16" t="s">
        <v>111</v>
      </c>
      <c r="AE64" s="16" t="s">
        <v>111</v>
      </c>
      <c r="AF64" s="16" t="s">
        <v>111</v>
      </c>
      <c r="AG64" s="16">
        <v>0</v>
      </c>
      <c r="AH64" s="14" t="s">
        <v>1149</v>
      </c>
      <c r="AI64" s="54">
        <v>0</v>
      </c>
      <c r="AJ64" s="54">
        <v>0</v>
      </c>
      <c r="AK64" s="54">
        <v>1</v>
      </c>
      <c r="AL64" s="54">
        <v>1</v>
      </c>
      <c r="AM64" s="54">
        <v>1</v>
      </c>
      <c r="AN64" s="14" t="s">
        <v>166</v>
      </c>
    </row>
    <row r="65" spans="1:40" ht="47.25" x14ac:dyDescent="0.25">
      <c r="A65" s="12" t="s">
        <v>1244</v>
      </c>
      <c r="B65" s="12" t="s">
        <v>1245</v>
      </c>
      <c r="C65" s="12" t="s">
        <v>1127</v>
      </c>
      <c r="D65" s="13" t="s">
        <v>30</v>
      </c>
      <c r="E65" s="13" t="s">
        <v>30</v>
      </c>
      <c r="F65" s="13">
        <v>69</v>
      </c>
      <c r="G65" s="13" t="s">
        <v>31</v>
      </c>
      <c r="H65" s="13" t="s">
        <v>209</v>
      </c>
      <c r="I65" s="12"/>
      <c r="J65" s="13">
        <v>659430216</v>
      </c>
      <c r="K65" s="13"/>
      <c r="L65" s="13" t="s">
        <v>210</v>
      </c>
      <c r="M65" s="14" t="s">
        <v>1074</v>
      </c>
      <c r="N65" s="13" t="s">
        <v>1069</v>
      </c>
      <c r="O65" s="12">
        <v>5</v>
      </c>
      <c r="P65" s="12" t="s">
        <v>174</v>
      </c>
      <c r="Q65" s="12" t="s">
        <v>868</v>
      </c>
      <c r="R65" s="12" t="s">
        <v>174</v>
      </c>
      <c r="S65" s="14" t="s">
        <v>166</v>
      </c>
      <c r="T65" s="12" t="s">
        <v>1110</v>
      </c>
      <c r="U65" s="14" t="s">
        <v>781</v>
      </c>
      <c r="V65" s="14"/>
      <c r="W65" s="14"/>
      <c r="X65" s="12"/>
      <c r="Y65" s="12"/>
      <c r="Z65" s="14"/>
      <c r="AA65" s="12"/>
      <c r="AB65" s="15"/>
      <c r="AC65" s="16" t="s">
        <v>111</v>
      </c>
      <c r="AD65" s="16" t="s">
        <v>111</v>
      </c>
      <c r="AE65" s="16" t="s">
        <v>111</v>
      </c>
      <c r="AF65" s="16" t="s">
        <v>111</v>
      </c>
      <c r="AG65" s="16">
        <v>0</v>
      </c>
      <c r="AH65" s="14" t="s">
        <v>1149</v>
      </c>
      <c r="AI65" s="54">
        <v>0</v>
      </c>
      <c r="AJ65" s="54">
        <v>0</v>
      </c>
      <c r="AK65" s="54">
        <v>1</v>
      </c>
      <c r="AL65" s="54">
        <v>1</v>
      </c>
      <c r="AM65" s="54">
        <v>1</v>
      </c>
      <c r="AN65" s="14" t="s">
        <v>166</v>
      </c>
    </row>
    <row r="66" spans="1:40" ht="47.25" x14ac:dyDescent="0.25">
      <c r="A66" s="12" t="s">
        <v>1246</v>
      </c>
      <c r="B66" s="12" t="s">
        <v>1247</v>
      </c>
      <c r="C66" s="12" t="s">
        <v>1127</v>
      </c>
      <c r="D66" s="13" t="s">
        <v>63</v>
      </c>
      <c r="E66" s="13" t="s">
        <v>64</v>
      </c>
      <c r="F66" s="13">
        <v>3566</v>
      </c>
      <c r="G66" s="13" t="s">
        <v>41</v>
      </c>
      <c r="H66" s="13" t="s">
        <v>247</v>
      </c>
      <c r="I66" s="12"/>
      <c r="J66" s="13">
        <v>690760964</v>
      </c>
      <c r="K66" s="13"/>
      <c r="L66" s="13" t="s">
        <v>248</v>
      </c>
      <c r="M66" s="14" t="s">
        <v>1073</v>
      </c>
      <c r="N66" s="13" t="s">
        <v>1068</v>
      </c>
      <c r="O66" s="12">
        <v>5</v>
      </c>
      <c r="P66" s="12" t="s">
        <v>174</v>
      </c>
      <c r="Q66" s="12" t="s">
        <v>868</v>
      </c>
      <c r="R66" s="12" t="s">
        <v>174</v>
      </c>
      <c r="S66" s="14" t="s">
        <v>166</v>
      </c>
      <c r="T66" s="12" t="s">
        <v>1110</v>
      </c>
      <c r="U66" s="14" t="s">
        <v>780</v>
      </c>
      <c r="V66" s="14"/>
      <c r="W66" s="14"/>
      <c r="X66" s="12"/>
      <c r="Y66" s="12"/>
      <c r="Z66" s="14"/>
      <c r="AA66" s="12"/>
      <c r="AB66" s="15"/>
      <c r="AC66" s="16">
        <v>0</v>
      </c>
      <c r="AD66" s="16">
        <v>0</v>
      </c>
      <c r="AE66" s="16">
        <v>1</v>
      </c>
      <c r="AF66" s="16">
        <v>0</v>
      </c>
      <c r="AG66" s="16">
        <v>0</v>
      </c>
      <c r="AH66" s="14" t="s">
        <v>166</v>
      </c>
      <c r="AI66" s="54">
        <v>0</v>
      </c>
      <c r="AJ66" s="54">
        <v>0</v>
      </c>
      <c r="AK66" s="54">
        <v>1</v>
      </c>
      <c r="AL66" s="54">
        <v>1</v>
      </c>
      <c r="AM66" s="54">
        <v>1</v>
      </c>
      <c r="AN66" s="14" t="s">
        <v>166</v>
      </c>
    </row>
    <row r="67" spans="1:40" ht="47.25" x14ac:dyDescent="0.25">
      <c r="A67" s="12" t="s">
        <v>1246</v>
      </c>
      <c r="B67" s="12" t="s">
        <v>1247</v>
      </c>
      <c r="C67" s="12" t="s">
        <v>1127</v>
      </c>
      <c r="D67" s="13" t="s">
        <v>63</v>
      </c>
      <c r="E67" s="13" t="s">
        <v>64</v>
      </c>
      <c r="F67" s="13">
        <v>2584</v>
      </c>
      <c r="G67" s="13" t="s">
        <v>41</v>
      </c>
      <c r="H67" s="13" t="s">
        <v>251</v>
      </c>
      <c r="I67" s="12"/>
      <c r="J67" s="13">
        <v>676235776</v>
      </c>
      <c r="K67" s="13"/>
      <c r="L67" s="13" t="s">
        <v>252</v>
      </c>
      <c r="M67" s="14" t="s">
        <v>1073</v>
      </c>
      <c r="N67" s="13" t="s">
        <v>1068</v>
      </c>
      <c r="O67" s="12">
        <v>5</v>
      </c>
      <c r="P67" s="12" t="s">
        <v>174</v>
      </c>
      <c r="Q67" s="12" t="s">
        <v>868</v>
      </c>
      <c r="R67" s="12" t="s">
        <v>174</v>
      </c>
      <c r="S67" s="14" t="s">
        <v>166</v>
      </c>
      <c r="T67" s="12" t="s">
        <v>1110</v>
      </c>
      <c r="U67" s="14" t="s">
        <v>780</v>
      </c>
      <c r="V67" s="14"/>
      <c r="W67" s="14"/>
      <c r="X67" s="12"/>
      <c r="Y67" s="12"/>
      <c r="Z67" s="14"/>
      <c r="AA67" s="12"/>
      <c r="AB67" s="15"/>
      <c r="AC67" s="16">
        <v>0</v>
      </c>
      <c r="AD67" s="16">
        <v>0</v>
      </c>
      <c r="AE67" s="16">
        <v>1</v>
      </c>
      <c r="AF67" s="16">
        <v>0</v>
      </c>
      <c r="AG67" s="16">
        <v>0</v>
      </c>
      <c r="AH67" s="14" t="s">
        <v>166</v>
      </c>
      <c r="AI67" s="54">
        <v>0</v>
      </c>
      <c r="AJ67" s="54">
        <v>0</v>
      </c>
      <c r="AK67" s="54">
        <v>1</v>
      </c>
      <c r="AL67" s="54">
        <v>0</v>
      </c>
      <c r="AM67" s="54">
        <v>0</v>
      </c>
      <c r="AN67" s="14" t="s">
        <v>166</v>
      </c>
    </row>
    <row r="68" spans="1:40" ht="47.25" x14ac:dyDescent="0.25">
      <c r="A68" s="12" t="s">
        <v>1246</v>
      </c>
      <c r="B68" s="12" t="s">
        <v>1247</v>
      </c>
      <c r="C68" s="12" t="s">
        <v>1127</v>
      </c>
      <c r="D68" s="13" t="s">
        <v>63</v>
      </c>
      <c r="E68" s="13" t="s">
        <v>64</v>
      </c>
      <c r="F68" s="13">
        <v>6838</v>
      </c>
      <c r="G68" s="13" t="s">
        <v>41</v>
      </c>
      <c r="H68" s="13" t="s">
        <v>1025</v>
      </c>
      <c r="I68" s="12"/>
      <c r="J68" s="13">
        <v>636549667</v>
      </c>
      <c r="K68" s="13"/>
      <c r="L68" s="13" t="s">
        <v>1047</v>
      </c>
      <c r="M68" s="14" t="s">
        <v>1073</v>
      </c>
      <c r="N68" s="13" t="s">
        <v>1068</v>
      </c>
      <c r="O68" s="12">
        <v>5</v>
      </c>
      <c r="P68" s="12" t="s">
        <v>174</v>
      </c>
      <c r="Q68" s="12" t="s">
        <v>868</v>
      </c>
      <c r="R68" s="12" t="s">
        <v>174</v>
      </c>
      <c r="S68" s="14" t="s">
        <v>166</v>
      </c>
      <c r="T68" s="12" t="s">
        <v>1199</v>
      </c>
      <c r="U68" s="14" t="s">
        <v>780</v>
      </c>
      <c r="V68" s="14"/>
      <c r="W68" s="14"/>
      <c r="X68" s="12"/>
      <c r="Y68" s="12"/>
      <c r="Z68" s="14"/>
      <c r="AA68" s="12"/>
      <c r="AB68" s="15"/>
      <c r="AC68" s="16">
        <v>0</v>
      </c>
      <c r="AD68" s="16">
        <v>0</v>
      </c>
      <c r="AE68" s="16">
        <v>0</v>
      </c>
      <c r="AF68" s="16">
        <v>0</v>
      </c>
      <c r="AG68" s="16">
        <v>0</v>
      </c>
      <c r="AH68" s="14" t="s">
        <v>174</v>
      </c>
      <c r="AI68" s="54">
        <v>0</v>
      </c>
      <c r="AJ68" s="54">
        <v>0</v>
      </c>
      <c r="AK68" s="54">
        <v>1</v>
      </c>
      <c r="AL68" s="54">
        <v>0</v>
      </c>
      <c r="AM68" s="54">
        <v>0</v>
      </c>
      <c r="AN68" s="14" t="s">
        <v>166</v>
      </c>
    </row>
    <row r="69" spans="1:40" ht="47.25" x14ac:dyDescent="0.25">
      <c r="A69" s="12" t="s">
        <v>1246</v>
      </c>
      <c r="B69" s="12" t="s">
        <v>1247</v>
      </c>
      <c r="C69" s="12" t="s">
        <v>1127</v>
      </c>
      <c r="D69" s="13" t="s">
        <v>63</v>
      </c>
      <c r="E69" s="13" t="s">
        <v>64</v>
      </c>
      <c r="F69" s="13">
        <v>2228</v>
      </c>
      <c r="G69" s="13" t="s">
        <v>41</v>
      </c>
      <c r="H69" s="13" t="s">
        <v>249</v>
      </c>
      <c r="I69" s="12"/>
      <c r="J69" s="13">
        <v>679418421</v>
      </c>
      <c r="K69" s="13"/>
      <c r="L69" s="13" t="s">
        <v>250</v>
      </c>
      <c r="M69" s="14" t="s">
        <v>1073</v>
      </c>
      <c r="N69" s="13" t="s">
        <v>1068</v>
      </c>
      <c r="O69" s="12">
        <v>5</v>
      </c>
      <c r="P69" s="12" t="s">
        <v>174</v>
      </c>
      <c r="Q69" s="12" t="s">
        <v>868</v>
      </c>
      <c r="R69" s="12" t="s">
        <v>174</v>
      </c>
      <c r="S69" s="14" t="s">
        <v>166</v>
      </c>
      <c r="T69" s="12" t="s">
        <v>1110</v>
      </c>
      <c r="U69" s="14" t="s">
        <v>780</v>
      </c>
      <c r="V69" s="14"/>
      <c r="W69" s="14"/>
      <c r="X69" s="12"/>
      <c r="Y69" s="12"/>
      <c r="Z69" s="14"/>
      <c r="AA69" s="12"/>
      <c r="AB69" s="15"/>
      <c r="AC69" s="16">
        <v>0</v>
      </c>
      <c r="AD69" s="16">
        <v>0</v>
      </c>
      <c r="AE69" s="16">
        <v>1</v>
      </c>
      <c r="AF69" s="16">
        <v>0</v>
      </c>
      <c r="AG69" s="16">
        <v>0</v>
      </c>
      <c r="AH69" s="14" t="s">
        <v>166</v>
      </c>
      <c r="AI69" s="54">
        <v>0</v>
      </c>
      <c r="AJ69" s="54">
        <v>0</v>
      </c>
      <c r="AK69" s="54">
        <v>1</v>
      </c>
      <c r="AL69" s="54">
        <v>0</v>
      </c>
      <c r="AM69" s="54">
        <v>0</v>
      </c>
      <c r="AN69" s="14" t="s">
        <v>166</v>
      </c>
    </row>
    <row r="70" spans="1:40" ht="47.25" x14ac:dyDescent="0.25">
      <c r="A70" s="12" t="s">
        <v>1248</v>
      </c>
      <c r="B70" s="12" t="s">
        <v>1249</v>
      </c>
      <c r="C70" s="12" t="s">
        <v>1127</v>
      </c>
      <c r="D70" s="13" t="s">
        <v>65</v>
      </c>
      <c r="E70" s="13" t="s">
        <v>66</v>
      </c>
      <c r="F70" s="13">
        <v>69</v>
      </c>
      <c r="G70" s="13" t="s">
        <v>41</v>
      </c>
      <c r="H70" s="13" t="s">
        <v>209</v>
      </c>
      <c r="I70" s="12"/>
      <c r="J70" s="13">
        <v>659430216</v>
      </c>
      <c r="K70" s="13"/>
      <c r="L70" s="13" t="s">
        <v>210</v>
      </c>
      <c r="M70" s="14" t="s">
        <v>1074</v>
      </c>
      <c r="N70" s="13" t="s">
        <v>1069</v>
      </c>
      <c r="O70" s="12">
        <v>7</v>
      </c>
      <c r="P70" s="12" t="s">
        <v>174</v>
      </c>
      <c r="Q70" s="12" t="s">
        <v>868</v>
      </c>
      <c r="R70" s="12" t="s">
        <v>174</v>
      </c>
      <c r="S70" s="14" t="s">
        <v>166</v>
      </c>
      <c r="T70" s="12" t="s">
        <v>1110</v>
      </c>
      <c r="U70" s="14" t="s">
        <v>781</v>
      </c>
      <c r="V70" s="14"/>
      <c r="W70" s="14"/>
      <c r="X70" s="12"/>
      <c r="Y70" s="12"/>
      <c r="Z70" s="14"/>
      <c r="AA70" s="12"/>
      <c r="AB70" s="15"/>
      <c r="AC70" s="16">
        <v>0</v>
      </c>
      <c r="AD70" s="16">
        <v>0</v>
      </c>
      <c r="AE70" s="16">
        <v>0</v>
      </c>
      <c r="AF70" s="16">
        <v>1</v>
      </c>
      <c r="AG70" s="16">
        <v>0</v>
      </c>
      <c r="AH70" s="14" t="s">
        <v>166</v>
      </c>
      <c r="AI70" s="54">
        <v>0</v>
      </c>
      <c r="AJ70" s="54">
        <v>0</v>
      </c>
      <c r="AK70" s="54">
        <v>1</v>
      </c>
      <c r="AL70" s="54">
        <v>1</v>
      </c>
      <c r="AM70" s="54">
        <v>1</v>
      </c>
      <c r="AN70" s="14" t="s">
        <v>166</v>
      </c>
    </row>
    <row r="71" spans="1:40" ht="47.25" x14ac:dyDescent="0.25">
      <c r="A71" s="12" t="s">
        <v>1250</v>
      </c>
      <c r="B71" s="12" t="s">
        <v>1251</v>
      </c>
      <c r="C71" s="12" t="s">
        <v>1127</v>
      </c>
      <c r="D71" s="13" t="s">
        <v>63</v>
      </c>
      <c r="E71" s="13" t="s">
        <v>64</v>
      </c>
      <c r="F71" s="13">
        <v>5041</v>
      </c>
      <c r="G71" s="13" t="s">
        <v>45</v>
      </c>
      <c r="H71" s="13" t="s">
        <v>816</v>
      </c>
      <c r="I71" s="12"/>
      <c r="J71" s="13">
        <v>682072578</v>
      </c>
      <c r="K71" s="13"/>
      <c r="L71" s="13" t="s">
        <v>892</v>
      </c>
      <c r="M71" s="14" t="s">
        <v>1073</v>
      </c>
      <c r="N71" s="13" t="s">
        <v>1068</v>
      </c>
      <c r="O71" s="12">
        <v>5</v>
      </c>
      <c r="P71" s="12" t="s">
        <v>174</v>
      </c>
      <c r="Q71" s="12" t="s">
        <v>868</v>
      </c>
      <c r="R71" s="12" t="s">
        <v>174</v>
      </c>
      <c r="S71" s="14" t="s">
        <v>166</v>
      </c>
      <c r="T71" s="12" t="s">
        <v>1110</v>
      </c>
      <c r="U71" s="14" t="s">
        <v>780</v>
      </c>
      <c r="V71" s="14"/>
      <c r="W71" s="14"/>
      <c r="X71" s="12"/>
      <c r="Y71" s="12"/>
      <c r="Z71" s="14"/>
      <c r="AA71" s="12"/>
      <c r="AB71" s="15"/>
      <c r="AC71" s="16">
        <v>0</v>
      </c>
      <c r="AD71" s="16">
        <v>0</v>
      </c>
      <c r="AE71" s="16">
        <v>0</v>
      </c>
      <c r="AF71" s="16">
        <v>0</v>
      </c>
      <c r="AG71" s="16">
        <v>1</v>
      </c>
      <c r="AH71" s="14" t="s">
        <v>166</v>
      </c>
      <c r="AI71" s="54">
        <v>0</v>
      </c>
      <c r="AJ71" s="54">
        <v>0</v>
      </c>
      <c r="AK71" s="54">
        <v>1</v>
      </c>
      <c r="AL71" s="54">
        <v>0</v>
      </c>
      <c r="AM71" s="54">
        <v>1</v>
      </c>
      <c r="AN71" s="14" t="s">
        <v>166</v>
      </c>
    </row>
    <row r="72" spans="1:40" ht="47.25" x14ac:dyDescent="0.25">
      <c r="A72" s="12" t="s">
        <v>1252</v>
      </c>
      <c r="B72" s="12" t="s">
        <v>1253</v>
      </c>
      <c r="C72" s="12" t="s">
        <v>1127</v>
      </c>
      <c r="D72" s="13" t="s">
        <v>65</v>
      </c>
      <c r="E72" s="13" t="s">
        <v>66</v>
      </c>
      <c r="F72" s="13">
        <v>112</v>
      </c>
      <c r="G72" s="13" t="s">
        <v>45</v>
      </c>
      <c r="H72" s="13" t="s">
        <v>197</v>
      </c>
      <c r="I72" s="12"/>
      <c r="J72" s="13">
        <v>682844144</v>
      </c>
      <c r="K72" s="13"/>
      <c r="L72" s="13" t="s">
        <v>198</v>
      </c>
      <c r="M72" s="14" t="s">
        <v>1074</v>
      </c>
      <c r="N72" s="13" t="s">
        <v>1069</v>
      </c>
      <c r="O72" s="12">
        <v>7</v>
      </c>
      <c r="P72" s="12" t="s">
        <v>1045</v>
      </c>
      <c r="Q72" s="12" t="s">
        <v>174</v>
      </c>
      <c r="R72" s="12" t="s">
        <v>174</v>
      </c>
      <c r="S72" s="14" t="s">
        <v>166</v>
      </c>
      <c r="T72" s="12" t="s">
        <v>174</v>
      </c>
      <c r="U72" s="14" t="s">
        <v>781</v>
      </c>
      <c r="V72" s="14"/>
      <c r="W72" s="14"/>
      <c r="X72" s="12"/>
      <c r="Y72" s="12"/>
      <c r="Z72" s="14"/>
      <c r="AA72" s="12"/>
      <c r="AB72" s="15"/>
      <c r="AC72" s="16">
        <v>0</v>
      </c>
      <c r="AD72" s="16">
        <v>0</v>
      </c>
      <c r="AE72" s="16">
        <v>0</v>
      </c>
      <c r="AF72" s="16">
        <v>1</v>
      </c>
      <c r="AG72" s="16">
        <v>0</v>
      </c>
      <c r="AH72" s="14" t="s">
        <v>166</v>
      </c>
      <c r="AI72" s="54">
        <v>0</v>
      </c>
      <c r="AJ72" s="54">
        <v>0</v>
      </c>
      <c r="AK72" s="54">
        <v>1</v>
      </c>
      <c r="AL72" s="54">
        <v>1</v>
      </c>
      <c r="AM72" s="54">
        <v>0</v>
      </c>
      <c r="AN72" s="14" t="s">
        <v>166</v>
      </c>
    </row>
    <row r="73" spans="1:40" ht="47.25" x14ac:dyDescent="0.25">
      <c r="A73" s="12" t="s">
        <v>1254</v>
      </c>
      <c r="B73" s="12" t="s">
        <v>1255</v>
      </c>
      <c r="C73" s="12" t="s">
        <v>1127</v>
      </c>
      <c r="D73" s="13" t="s">
        <v>63</v>
      </c>
      <c r="E73" s="13" t="s">
        <v>64</v>
      </c>
      <c r="F73" s="13">
        <v>4037</v>
      </c>
      <c r="G73" s="13" t="s">
        <v>35</v>
      </c>
      <c r="H73" s="13" t="s">
        <v>253</v>
      </c>
      <c r="I73" s="12"/>
      <c r="J73" s="13">
        <v>686074184</v>
      </c>
      <c r="K73" s="13"/>
      <c r="L73" s="13" t="s">
        <v>893</v>
      </c>
      <c r="M73" s="14" t="s">
        <v>1073</v>
      </c>
      <c r="N73" s="13" t="s">
        <v>1068</v>
      </c>
      <c r="O73" s="12">
        <v>5</v>
      </c>
      <c r="P73" s="12" t="s">
        <v>174</v>
      </c>
      <c r="Q73" s="12" t="s">
        <v>868</v>
      </c>
      <c r="R73" s="12" t="s">
        <v>174</v>
      </c>
      <c r="S73" s="14" t="s">
        <v>166</v>
      </c>
      <c r="T73" s="12" t="s">
        <v>174</v>
      </c>
      <c r="U73" s="14" t="s">
        <v>780</v>
      </c>
      <c r="V73" s="14"/>
      <c r="W73" s="14"/>
      <c r="X73" s="12"/>
      <c r="Y73" s="12"/>
      <c r="Z73" s="14"/>
      <c r="AA73" s="12"/>
      <c r="AB73" s="15"/>
      <c r="AC73" s="16">
        <v>0</v>
      </c>
      <c r="AD73" s="16">
        <v>0</v>
      </c>
      <c r="AE73" s="16">
        <v>0</v>
      </c>
      <c r="AF73" s="16">
        <v>0</v>
      </c>
      <c r="AG73" s="16">
        <v>1</v>
      </c>
      <c r="AH73" s="14" t="s">
        <v>166</v>
      </c>
      <c r="AI73" s="54">
        <v>0</v>
      </c>
      <c r="AJ73" s="54">
        <v>1</v>
      </c>
      <c r="AK73" s="54">
        <v>1</v>
      </c>
      <c r="AL73" s="54">
        <v>0</v>
      </c>
      <c r="AM73" s="54">
        <v>1</v>
      </c>
      <c r="AN73" s="14" t="s">
        <v>166</v>
      </c>
    </row>
    <row r="74" spans="1:40" ht="47.25" x14ac:dyDescent="0.25">
      <c r="A74" s="12" t="s">
        <v>1256</v>
      </c>
      <c r="B74" s="12" t="s">
        <v>1257</v>
      </c>
      <c r="C74" s="12" t="s">
        <v>1127</v>
      </c>
      <c r="D74" s="13" t="s">
        <v>65</v>
      </c>
      <c r="E74" s="13" t="s">
        <v>66</v>
      </c>
      <c r="F74" s="13">
        <v>225</v>
      </c>
      <c r="G74" s="13" t="s">
        <v>35</v>
      </c>
      <c r="H74" s="13" t="s">
        <v>203</v>
      </c>
      <c r="I74" s="12"/>
      <c r="J74" s="13">
        <v>689670548</v>
      </c>
      <c r="K74" s="13"/>
      <c r="L74" s="13" t="s">
        <v>204</v>
      </c>
      <c r="M74" s="14" t="s">
        <v>1074</v>
      </c>
      <c r="N74" s="13" t="s">
        <v>1069</v>
      </c>
      <c r="O74" s="12">
        <v>7</v>
      </c>
      <c r="P74" s="12" t="s">
        <v>1045</v>
      </c>
      <c r="Q74" s="12" t="s">
        <v>174</v>
      </c>
      <c r="R74" s="12" t="s">
        <v>174</v>
      </c>
      <c r="S74" s="14" t="s">
        <v>166</v>
      </c>
      <c r="T74" s="12" t="s">
        <v>174</v>
      </c>
      <c r="U74" s="14" t="s">
        <v>781</v>
      </c>
      <c r="V74" s="14"/>
      <c r="W74" s="14"/>
      <c r="X74" s="12"/>
      <c r="Y74" s="12"/>
      <c r="Z74" s="14"/>
      <c r="AA74" s="12"/>
      <c r="AB74" s="15"/>
      <c r="AC74" s="16">
        <v>0</v>
      </c>
      <c r="AD74" s="16">
        <v>0</v>
      </c>
      <c r="AE74" s="16">
        <v>0</v>
      </c>
      <c r="AF74" s="16">
        <v>1</v>
      </c>
      <c r="AG74" s="16">
        <v>0</v>
      </c>
      <c r="AH74" s="14" t="s">
        <v>166</v>
      </c>
      <c r="AI74" s="54">
        <v>0</v>
      </c>
      <c r="AJ74" s="54">
        <v>0</v>
      </c>
      <c r="AK74" s="54">
        <v>1</v>
      </c>
      <c r="AL74" s="54">
        <v>1</v>
      </c>
      <c r="AM74" s="54">
        <v>0</v>
      </c>
      <c r="AN74" s="14" t="s">
        <v>166</v>
      </c>
    </row>
    <row r="75" spans="1:40" ht="47.25" x14ac:dyDescent="0.25">
      <c r="A75" s="12" t="s">
        <v>1258</v>
      </c>
      <c r="B75" s="12" t="s">
        <v>1259</v>
      </c>
      <c r="C75" s="12" t="s">
        <v>1127</v>
      </c>
      <c r="D75" s="13" t="s">
        <v>63</v>
      </c>
      <c r="E75" s="13" t="s">
        <v>64</v>
      </c>
      <c r="F75" s="13">
        <v>2347</v>
      </c>
      <c r="G75" s="13" t="s">
        <v>46</v>
      </c>
      <c r="H75" s="13" t="s">
        <v>177</v>
      </c>
      <c r="I75" s="12"/>
      <c r="J75" s="13">
        <v>630957140</v>
      </c>
      <c r="K75" s="13"/>
      <c r="L75" s="13" t="s">
        <v>178</v>
      </c>
      <c r="M75" s="14" t="s">
        <v>153</v>
      </c>
      <c r="N75" s="13" t="s">
        <v>152</v>
      </c>
      <c r="O75" s="12">
        <v>1</v>
      </c>
      <c r="P75" s="12" t="s">
        <v>1045</v>
      </c>
      <c r="Q75" s="12" t="s">
        <v>868</v>
      </c>
      <c r="R75" s="12" t="s">
        <v>174</v>
      </c>
      <c r="S75" s="14" t="s">
        <v>166</v>
      </c>
      <c r="T75" s="12" t="s">
        <v>1110</v>
      </c>
      <c r="U75" s="14" t="s">
        <v>782</v>
      </c>
      <c r="V75" s="14"/>
      <c r="W75" s="14"/>
      <c r="X75" s="12"/>
      <c r="Y75" s="12"/>
      <c r="Z75" s="14"/>
      <c r="AA75" s="12"/>
      <c r="AB75" s="15"/>
      <c r="AC75" s="16">
        <v>0</v>
      </c>
      <c r="AD75" s="16">
        <v>0</v>
      </c>
      <c r="AE75" s="16">
        <v>1</v>
      </c>
      <c r="AF75" s="16">
        <v>0</v>
      </c>
      <c r="AG75" s="16">
        <v>0</v>
      </c>
      <c r="AH75" s="14" t="s">
        <v>166</v>
      </c>
      <c r="AI75" s="54">
        <v>0</v>
      </c>
      <c r="AJ75" s="54">
        <v>0</v>
      </c>
      <c r="AK75" s="54">
        <v>1</v>
      </c>
      <c r="AL75" s="54">
        <v>1</v>
      </c>
      <c r="AM75" s="54">
        <v>1</v>
      </c>
      <c r="AN75" s="14" t="s">
        <v>166</v>
      </c>
    </row>
    <row r="76" spans="1:40" ht="47.25" x14ac:dyDescent="0.25">
      <c r="A76" s="12" t="s">
        <v>1260</v>
      </c>
      <c r="B76" s="12" t="s">
        <v>1261</v>
      </c>
      <c r="C76" s="12" t="s">
        <v>1127</v>
      </c>
      <c r="D76" s="13" t="s">
        <v>65</v>
      </c>
      <c r="E76" s="13" t="s">
        <v>66</v>
      </c>
      <c r="F76" s="13">
        <v>1891</v>
      </c>
      <c r="G76" s="13" t="s">
        <v>46</v>
      </c>
      <c r="H76" s="13" t="s">
        <v>170</v>
      </c>
      <c r="I76" s="12"/>
      <c r="J76" s="13">
        <v>629416075</v>
      </c>
      <c r="K76" s="13"/>
      <c r="L76" s="13" t="s">
        <v>171</v>
      </c>
      <c r="M76" s="14" t="s">
        <v>1073</v>
      </c>
      <c r="N76" s="13" t="s">
        <v>1068</v>
      </c>
      <c r="O76" s="12">
        <v>5</v>
      </c>
      <c r="P76" s="12" t="s">
        <v>174</v>
      </c>
      <c r="Q76" s="12" t="s">
        <v>868</v>
      </c>
      <c r="R76" s="12" t="s">
        <v>174</v>
      </c>
      <c r="S76" s="14" t="s">
        <v>166</v>
      </c>
      <c r="T76" s="12" t="s">
        <v>1110</v>
      </c>
      <c r="U76" s="14" t="s">
        <v>780</v>
      </c>
      <c r="V76" s="14"/>
      <c r="W76" s="14"/>
      <c r="X76" s="12"/>
      <c r="Y76" s="12"/>
      <c r="Z76" s="14"/>
      <c r="AA76" s="12"/>
      <c r="AB76" s="15"/>
      <c r="AC76" s="16">
        <v>0</v>
      </c>
      <c r="AD76" s="16">
        <v>0</v>
      </c>
      <c r="AE76" s="16">
        <v>0</v>
      </c>
      <c r="AF76" s="16">
        <v>0</v>
      </c>
      <c r="AG76" s="16">
        <v>0</v>
      </c>
      <c r="AH76" s="14" t="s">
        <v>174</v>
      </c>
      <c r="AI76" s="54">
        <v>0</v>
      </c>
      <c r="AJ76" s="54">
        <v>0</v>
      </c>
      <c r="AK76" s="54">
        <v>1</v>
      </c>
      <c r="AL76" s="54">
        <v>1</v>
      </c>
      <c r="AM76" s="54">
        <v>1</v>
      </c>
      <c r="AN76" s="14" t="s">
        <v>166</v>
      </c>
    </row>
    <row r="77" spans="1:40" ht="47.25" x14ac:dyDescent="0.25">
      <c r="A77" s="12" t="s">
        <v>1262</v>
      </c>
      <c r="B77" s="12" t="s">
        <v>1263</v>
      </c>
      <c r="C77" s="12" t="s">
        <v>1128</v>
      </c>
      <c r="D77" s="13" t="s">
        <v>26</v>
      </c>
      <c r="E77" s="13" t="s">
        <v>26</v>
      </c>
      <c r="F77" s="13">
        <v>2532</v>
      </c>
      <c r="G77" s="13" t="s">
        <v>27</v>
      </c>
      <c r="H77" s="13" t="s">
        <v>245</v>
      </c>
      <c r="I77" s="12"/>
      <c r="J77" s="13">
        <v>607377248</v>
      </c>
      <c r="K77" s="13"/>
      <c r="L77" s="13" t="s">
        <v>246</v>
      </c>
      <c r="M77" s="14" t="s">
        <v>1073</v>
      </c>
      <c r="N77" s="13" t="s">
        <v>1068</v>
      </c>
      <c r="O77" s="12" t="s">
        <v>67</v>
      </c>
      <c r="P77" s="12" t="s">
        <v>174</v>
      </c>
      <c r="Q77" s="12" t="s">
        <v>174</v>
      </c>
      <c r="R77" s="12" t="s">
        <v>867</v>
      </c>
      <c r="S77" s="14" t="s">
        <v>166</v>
      </c>
      <c r="T77" s="12" t="s">
        <v>1110</v>
      </c>
      <c r="U77" s="14" t="s">
        <v>780</v>
      </c>
      <c r="V77" s="14"/>
      <c r="W77" s="14"/>
      <c r="X77" s="12"/>
      <c r="Y77" s="12"/>
      <c r="Z77" s="14"/>
      <c r="AA77" s="12"/>
      <c r="AB77" s="15"/>
      <c r="AC77" s="16" t="s">
        <v>111</v>
      </c>
      <c r="AD77" s="16" t="s">
        <v>111</v>
      </c>
      <c r="AE77" s="16" t="s">
        <v>111</v>
      </c>
      <c r="AF77" s="16" t="s">
        <v>111</v>
      </c>
      <c r="AG77" s="16" t="s">
        <v>111</v>
      </c>
      <c r="AH77" s="14" t="s">
        <v>1149</v>
      </c>
      <c r="AI77" s="54">
        <v>0</v>
      </c>
      <c r="AJ77" s="54">
        <v>0</v>
      </c>
      <c r="AK77" s="54">
        <v>0</v>
      </c>
      <c r="AL77" s="54">
        <v>0</v>
      </c>
      <c r="AM77" s="54">
        <v>1</v>
      </c>
      <c r="AN77" s="14" t="s">
        <v>166</v>
      </c>
    </row>
    <row r="78" spans="1:40" ht="47.25" x14ac:dyDescent="0.25">
      <c r="A78" s="12" t="s">
        <v>1264</v>
      </c>
      <c r="B78" s="12" t="s">
        <v>1265</v>
      </c>
      <c r="C78" s="12" t="s">
        <v>1128</v>
      </c>
      <c r="D78" s="13" t="s">
        <v>28</v>
      </c>
      <c r="E78" s="13" t="s">
        <v>28</v>
      </c>
      <c r="F78" s="13">
        <v>2867</v>
      </c>
      <c r="G78" s="13" t="s">
        <v>29</v>
      </c>
      <c r="H78" s="13" t="s">
        <v>266</v>
      </c>
      <c r="I78" s="12"/>
      <c r="J78" s="13">
        <v>646308310</v>
      </c>
      <c r="K78" s="13"/>
      <c r="L78" s="13" t="s">
        <v>267</v>
      </c>
      <c r="M78" s="14" t="s">
        <v>1073</v>
      </c>
      <c r="N78" s="13" t="s">
        <v>1068</v>
      </c>
      <c r="O78" s="12" t="s">
        <v>67</v>
      </c>
      <c r="P78" s="12" t="s">
        <v>174</v>
      </c>
      <c r="Q78" s="12" t="s">
        <v>868</v>
      </c>
      <c r="R78" s="12" t="s">
        <v>174</v>
      </c>
      <c r="S78" s="14" t="s">
        <v>166</v>
      </c>
      <c r="T78" s="12" t="s">
        <v>1110</v>
      </c>
      <c r="U78" s="14" t="s">
        <v>780</v>
      </c>
      <c r="V78" s="14"/>
      <c r="W78" s="14"/>
      <c r="X78" s="12"/>
      <c r="Y78" s="12"/>
      <c r="Z78" s="14"/>
      <c r="AA78" s="12"/>
      <c r="AB78" s="15"/>
      <c r="AC78" s="16" t="s">
        <v>111</v>
      </c>
      <c r="AD78" s="16" t="s">
        <v>111</v>
      </c>
      <c r="AE78" s="16" t="s">
        <v>111</v>
      </c>
      <c r="AF78" s="16" t="s">
        <v>111</v>
      </c>
      <c r="AG78" s="16">
        <v>0</v>
      </c>
      <c r="AH78" s="14" t="s">
        <v>1149</v>
      </c>
      <c r="AI78" s="54">
        <v>0</v>
      </c>
      <c r="AJ78" s="54">
        <v>0</v>
      </c>
      <c r="AK78" s="54">
        <v>0</v>
      </c>
      <c r="AL78" s="54">
        <v>1</v>
      </c>
      <c r="AM78" s="54">
        <v>1</v>
      </c>
      <c r="AN78" s="14" t="s">
        <v>166</v>
      </c>
    </row>
    <row r="79" spans="1:40" ht="47.25" x14ac:dyDescent="0.25">
      <c r="A79" s="12" t="s">
        <v>1266</v>
      </c>
      <c r="B79" s="12" t="s">
        <v>1267</v>
      </c>
      <c r="C79" s="12" t="s">
        <v>1128</v>
      </c>
      <c r="D79" s="13" t="s">
        <v>30</v>
      </c>
      <c r="E79" s="13" t="s">
        <v>30</v>
      </c>
      <c r="F79" s="13">
        <v>5082</v>
      </c>
      <c r="G79" s="13" t="s">
        <v>31</v>
      </c>
      <c r="H79" s="13" t="s">
        <v>817</v>
      </c>
      <c r="I79" s="12"/>
      <c r="J79" s="13">
        <v>682101464</v>
      </c>
      <c r="K79" s="13"/>
      <c r="L79" s="13" t="s">
        <v>818</v>
      </c>
      <c r="M79" s="14" t="s">
        <v>1073</v>
      </c>
      <c r="N79" s="13" t="s">
        <v>1068</v>
      </c>
      <c r="O79" s="12" t="s">
        <v>67</v>
      </c>
      <c r="P79" s="12" t="s">
        <v>174</v>
      </c>
      <c r="Q79" s="12" t="s">
        <v>868</v>
      </c>
      <c r="R79" s="12" t="s">
        <v>174</v>
      </c>
      <c r="S79" s="14" t="s">
        <v>166</v>
      </c>
      <c r="T79" s="12" t="s">
        <v>1110</v>
      </c>
      <c r="U79" s="14" t="s">
        <v>780</v>
      </c>
      <c r="V79" s="14"/>
      <c r="W79" s="14"/>
      <c r="X79" s="12"/>
      <c r="Y79" s="12"/>
      <c r="Z79" s="14"/>
      <c r="AA79" s="12"/>
      <c r="AB79" s="15"/>
      <c r="AC79" s="16" t="s">
        <v>111</v>
      </c>
      <c r="AD79" s="16" t="s">
        <v>111</v>
      </c>
      <c r="AE79" s="16" t="s">
        <v>111</v>
      </c>
      <c r="AF79" s="16" t="s">
        <v>111</v>
      </c>
      <c r="AG79" s="16">
        <v>1</v>
      </c>
      <c r="AH79" s="14" t="s">
        <v>1149</v>
      </c>
      <c r="AI79" s="54">
        <v>0</v>
      </c>
      <c r="AJ79" s="54">
        <v>0</v>
      </c>
      <c r="AK79" s="54">
        <v>0</v>
      </c>
      <c r="AL79" s="54">
        <v>1</v>
      </c>
      <c r="AM79" s="54">
        <v>1</v>
      </c>
      <c r="AN79" s="14" t="s">
        <v>166</v>
      </c>
    </row>
    <row r="80" spans="1:40" ht="47.25" x14ac:dyDescent="0.25">
      <c r="A80" s="12" t="s">
        <v>1268</v>
      </c>
      <c r="B80" s="12" t="s">
        <v>1269</v>
      </c>
      <c r="C80" s="12" t="s">
        <v>1128</v>
      </c>
      <c r="D80" s="13" t="s">
        <v>69</v>
      </c>
      <c r="E80" s="13" t="s">
        <v>70</v>
      </c>
      <c r="F80" s="13">
        <v>5082</v>
      </c>
      <c r="G80" s="13" t="s">
        <v>40</v>
      </c>
      <c r="H80" s="13" t="s">
        <v>817</v>
      </c>
      <c r="I80" s="12"/>
      <c r="J80" s="13">
        <v>682101464</v>
      </c>
      <c r="K80" s="13"/>
      <c r="L80" s="13" t="s">
        <v>818</v>
      </c>
      <c r="M80" s="14" t="s">
        <v>1073</v>
      </c>
      <c r="N80" s="13" t="s">
        <v>1068</v>
      </c>
      <c r="O80" s="12" t="s">
        <v>53</v>
      </c>
      <c r="P80" s="12" t="s">
        <v>174</v>
      </c>
      <c r="Q80" s="12" t="s">
        <v>868</v>
      </c>
      <c r="R80" s="12" t="s">
        <v>174</v>
      </c>
      <c r="S80" s="14" t="s">
        <v>166</v>
      </c>
      <c r="T80" s="12" t="s">
        <v>1110</v>
      </c>
      <c r="U80" s="14" t="s">
        <v>780</v>
      </c>
      <c r="V80" s="14"/>
      <c r="W80" s="14"/>
      <c r="X80" s="12"/>
      <c r="Y80" s="12"/>
      <c r="Z80" s="14"/>
      <c r="AA80" s="12"/>
      <c r="AB80" s="15"/>
      <c r="AC80" s="16">
        <v>0</v>
      </c>
      <c r="AD80" s="16">
        <v>0</v>
      </c>
      <c r="AE80" s="16">
        <v>0</v>
      </c>
      <c r="AF80" s="16">
        <v>0</v>
      </c>
      <c r="AG80" s="16">
        <v>1</v>
      </c>
      <c r="AH80" s="14" t="s">
        <v>166</v>
      </c>
      <c r="AI80" s="54"/>
      <c r="AJ80" s="54"/>
      <c r="AK80" s="54"/>
      <c r="AL80" s="54"/>
      <c r="AM80" s="54">
        <v>1</v>
      </c>
      <c r="AN80" s="14" t="s">
        <v>166</v>
      </c>
    </row>
    <row r="81" spans="1:40" ht="63" x14ac:dyDescent="0.25">
      <c r="A81" s="12" t="s">
        <v>1270</v>
      </c>
      <c r="B81" s="12" t="s">
        <v>1271</v>
      </c>
      <c r="C81" s="12" t="s">
        <v>1128</v>
      </c>
      <c r="D81" s="13" t="s">
        <v>68</v>
      </c>
      <c r="E81" s="13" t="s">
        <v>1079</v>
      </c>
      <c r="F81" s="13">
        <v>5452</v>
      </c>
      <c r="G81" s="13" t="s">
        <v>41</v>
      </c>
      <c r="H81" s="13" t="s">
        <v>896</v>
      </c>
      <c r="I81" s="12"/>
      <c r="J81" s="13">
        <v>676546704</v>
      </c>
      <c r="K81" s="13"/>
      <c r="L81" s="13" t="s">
        <v>897</v>
      </c>
      <c r="M81" s="14" t="s">
        <v>1073</v>
      </c>
      <c r="N81" s="13" t="s">
        <v>1068</v>
      </c>
      <c r="O81" s="12" t="s">
        <v>53</v>
      </c>
      <c r="P81" s="12" t="s">
        <v>174</v>
      </c>
      <c r="Q81" s="12" t="s">
        <v>868</v>
      </c>
      <c r="R81" s="12" t="s">
        <v>174</v>
      </c>
      <c r="S81" s="14" t="s">
        <v>166</v>
      </c>
      <c r="T81" s="12" t="s">
        <v>1110</v>
      </c>
      <c r="U81" s="14" t="s">
        <v>780</v>
      </c>
      <c r="V81" s="14"/>
      <c r="W81" s="14"/>
      <c r="X81" s="12"/>
      <c r="Y81" s="12"/>
      <c r="Z81" s="14"/>
      <c r="AA81" s="12"/>
      <c r="AB81" s="15"/>
      <c r="AC81" s="16">
        <v>0</v>
      </c>
      <c r="AD81" s="16">
        <v>0</v>
      </c>
      <c r="AE81" s="16">
        <v>0</v>
      </c>
      <c r="AF81" s="16">
        <v>0</v>
      </c>
      <c r="AG81" s="16">
        <v>0</v>
      </c>
      <c r="AH81" s="14" t="s">
        <v>174</v>
      </c>
      <c r="AI81" s="54">
        <v>0</v>
      </c>
      <c r="AJ81" s="54">
        <v>0</v>
      </c>
      <c r="AK81" s="54">
        <v>0</v>
      </c>
      <c r="AL81" s="54">
        <v>1</v>
      </c>
      <c r="AM81" s="54">
        <v>0</v>
      </c>
      <c r="AN81" s="14" t="s">
        <v>166</v>
      </c>
    </row>
    <row r="82" spans="1:40" ht="63" x14ac:dyDescent="0.25">
      <c r="A82" s="12" t="s">
        <v>1270</v>
      </c>
      <c r="B82" s="12" t="s">
        <v>1271</v>
      </c>
      <c r="C82" s="12" t="s">
        <v>1128</v>
      </c>
      <c r="D82" s="13" t="s">
        <v>68</v>
      </c>
      <c r="E82" s="13" t="s">
        <v>1079</v>
      </c>
      <c r="F82" s="13">
        <v>5349</v>
      </c>
      <c r="G82" s="13" t="s">
        <v>41</v>
      </c>
      <c r="H82" s="13" t="s">
        <v>894</v>
      </c>
      <c r="I82" s="12"/>
      <c r="J82" s="13">
        <v>679919857</v>
      </c>
      <c r="K82" s="13"/>
      <c r="L82" s="13" t="s">
        <v>895</v>
      </c>
      <c r="M82" s="14" t="s">
        <v>1073</v>
      </c>
      <c r="N82" s="13" t="s">
        <v>1068</v>
      </c>
      <c r="O82" s="12" t="s">
        <v>67</v>
      </c>
      <c r="P82" s="12" t="s">
        <v>174</v>
      </c>
      <c r="Q82" s="12" t="s">
        <v>868</v>
      </c>
      <c r="R82" s="12" t="s">
        <v>174</v>
      </c>
      <c r="S82" s="14" t="s">
        <v>166</v>
      </c>
      <c r="T82" s="12" t="s">
        <v>1110</v>
      </c>
      <c r="U82" s="14" t="s">
        <v>780</v>
      </c>
      <c r="V82" s="14"/>
      <c r="W82" s="14"/>
      <c r="X82" s="12"/>
      <c r="Y82" s="12"/>
      <c r="Z82" s="14"/>
      <c r="AA82" s="12"/>
      <c r="AB82" s="15"/>
      <c r="AC82" s="16">
        <v>0</v>
      </c>
      <c r="AD82" s="16">
        <v>0</v>
      </c>
      <c r="AE82" s="16">
        <v>0</v>
      </c>
      <c r="AF82" s="16">
        <v>0</v>
      </c>
      <c r="AG82" s="16">
        <v>0</v>
      </c>
      <c r="AH82" s="14" t="s">
        <v>174</v>
      </c>
      <c r="AI82" s="54">
        <v>0</v>
      </c>
      <c r="AJ82" s="54">
        <v>0</v>
      </c>
      <c r="AK82" s="54">
        <v>1</v>
      </c>
      <c r="AL82" s="54">
        <v>0</v>
      </c>
      <c r="AM82" s="54">
        <v>0</v>
      </c>
      <c r="AN82" s="14" t="s">
        <v>166</v>
      </c>
    </row>
    <row r="83" spans="1:40" ht="63" x14ac:dyDescent="0.25">
      <c r="A83" s="12" t="s">
        <v>1270</v>
      </c>
      <c r="B83" s="12" t="s">
        <v>1271</v>
      </c>
      <c r="C83" s="12" t="s">
        <v>1128</v>
      </c>
      <c r="D83" s="13" t="s">
        <v>68</v>
      </c>
      <c r="E83" s="13" t="s">
        <v>1079</v>
      </c>
      <c r="F83" s="13">
        <v>6604</v>
      </c>
      <c r="G83" s="13" t="s">
        <v>41</v>
      </c>
      <c r="H83" s="13" t="s">
        <v>1027</v>
      </c>
      <c r="I83" s="12"/>
      <c r="J83" s="13">
        <v>647394323</v>
      </c>
      <c r="K83" s="13"/>
      <c r="L83" s="13" t="s">
        <v>1049</v>
      </c>
      <c r="M83" s="14" t="s">
        <v>1073</v>
      </c>
      <c r="N83" s="13" t="s">
        <v>1068</v>
      </c>
      <c r="O83" s="12" t="s">
        <v>67</v>
      </c>
      <c r="P83" s="12" t="s">
        <v>174</v>
      </c>
      <c r="Q83" s="12" t="s">
        <v>868</v>
      </c>
      <c r="R83" s="12" t="s">
        <v>174</v>
      </c>
      <c r="S83" s="14" t="s">
        <v>166</v>
      </c>
      <c r="T83" s="12" t="s">
        <v>1199</v>
      </c>
      <c r="U83" s="14" t="s">
        <v>780</v>
      </c>
      <c r="V83" s="14"/>
      <c r="W83" s="14"/>
      <c r="X83" s="12"/>
      <c r="Y83" s="12"/>
      <c r="Z83" s="14"/>
      <c r="AA83" s="12"/>
      <c r="AB83" s="15"/>
      <c r="AC83" s="16">
        <v>0</v>
      </c>
      <c r="AD83" s="16">
        <v>0</v>
      </c>
      <c r="AE83" s="16">
        <v>0</v>
      </c>
      <c r="AF83" s="16">
        <v>0</v>
      </c>
      <c r="AG83" s="16">
        <v>0</v>
      </c>
      <c r="AH83" s="14" t="s">
        <v>174</v>
      </c>
      <c r="AI83" s="54">
        <v>0</v>
      </c>
      <c r="AJ83" s="54">
        <v>0</v>
      </c>
      <c r="AK83" s="54">
        <v>0</v>
      </c>
      <c r="AL83" s="54">
        <v>1</v>
      </c>
      <c r="AM83" s="54">
        <v>0</v>
      </c>
      <c r="AN83" s="14" t="s">
        <v>166</v>
      </c>
    </row>
    <row r="84" spans="1:40" ht="63" x14ac:dyDescent="0.25">
      <c r="A84" s="12" t="s">
        <v>1272</v>
      </c>
      <c r="B84" s="12" t="s">
        <v>1273</v>
      </c>
      <c r="C84" s="12" t="s">
        <v>1128</v>
      </c>
      <c r="D84" s="13" t="s">
        <v>68</v>
      </c>
      <c r="E84" s="13" t="s">
        <v>1079</v>
      </c>
      <c r="F84" s="13">
        <v>2354</v>
      </c>
      <c r="G84" s="13" t="s">
        <v>35</v>
      </c>
      <c r="H84" s="13" t="s">
        <v>268</v>
      </c>
      <c r="I84" s="12"/>
      <c r="J84" s="13">
        <v>687410874</v>
      </c>
      <c r="K84" s="13"/>
      <c r="L84" s="13" t="s">
        <v>269</v>
      </c>
      <c r="M84" s="14" t="s">
        <v>153</v>
      </c>
      <c r="N84" s="13" t="s">
        <v>152</v>
      </c>
      <c r="O84" s="12" t="s">
        <v>67</v>
      </c>
      <c r="P84" s="12" t="s">
        <v>174</v>
      </c>
      <c r="Q84" s="12" t="s">
        <v>868</v>
      </c>
      <c r="R84" s="12" t="s">
        <v>174</v>
      </c>
      <c r="S84" s="14" t="s">
        <v>166</v>
      </c>
      <c r="T84" s="12" t="s">
        <v>1110</v>
      </c>
      <c r="U84" s="14" t="s">
        <v>782</v>
      </c>
      <c r="V84" s="14"/>
      <c r="W84" s="14"/>
      <c r="X84" s="12"/>
      <c r="Y84" s="12"/>
      <c r="Z84" s="14"/>
      <c r="AA84" s="12"/>
      <c r="AB84" s="15"/>
      <c r="AC84" s="16">
        <v>0</v>
      </c>
      <c r="AD84" s="16">
        <v>0</v>
      </c>
      <c r="AE84" s="16">
        <v>0</v>
      </c>
      <c r="AF84" s="16">
        <v>1</v>
      </c>
      <c r="AG84" s="16">
        <v>0</v>
      </c>
      <c r="AH84" s="14" t="s">
        <v>166</v>
      </c>
      <c r="AI84" s="54">
        <v>0</v>
      </c>
      <c r="AJ84" s="54">
        <v>0</v>
      </c>
      <c r="AK84" s="54">
        <v>1</v>
      </c>
      <c r="AL84" s="54">
        <v>0</v>
      </c>
      <c r="AM84" s="54">
        <v>0</v>
      </c>
      <c r="AN84" s="14" t="s">
        <v>166</v>
      </c>
    </row>
    <row r="85" spans="1:40" ht="63" x14ac:dyDescent="0.25">
      <c r="A85" s="12" t="s">
        <v>1272</v>
      </c>
      <c r="B85" s="12" t="s">
        <v>1273</v>
      </c>
      <c r="C85" s="12" t="s">
        <v>1128</v>
      </c>
      <c r="D85" s="13" t="s">
        <v>68</v>
      </c>
      <c r="E85" s="13" t="s">
        <v>1079</v>
      </c>
      <c r="F85" s="13">
        <v>6903</v>
      </c>
      <c r="G85" s="13" t="s">
        <v>35</v>
      </c>
      <c r="H85" s="13" t="s">
        <v>1026</v>
      </c>
      <c r="I85" s="12"/>
      <c r="J85" s="13">
        <v>600935206</v>
      </c>
      <c r="K85" s="13"/>
      <c r="L85" s="13" t="s">
        <v>1048</v>
      </c>
      <c r="M85" s="14" t="s">
        <v>1073</v>
      </c>
      <c r="N85" s="13" t="s">
        <v>1068</v>
      </c>
      <c r="O85" s="12" t="s">
        <v>67</v>
      </c>
      <c r="P85" s="12" t="s">
        <v>174</v>
      </c>
      <c r="Q85" s="12" t="s">
        <v>174</v>
      </c>
      <c r="R85" s="12" t="s">
        <v>174</v>
      </c>
      <c r="S85" s="14" t="s">
        <v>166</v>
      </c>
      <c r="T85" s="12" t="s">
        <v>1199</v>
      </c>
      <c r="U85" s="14" t="s">
        <v>780</v>
      </c>
      <c r="V85" s="14"/>
      <c r="W85" s="14"/>
      <c r="X85" s="12"/>
      <c r="Y85" s="12"/>
      <c r="Z85" s="14"/>
      <c r="AA85" s="12"/>
      <c r="AB85" s="15"/>
      <c r="AC85" s="16">
        <v>0</v>
      </c>
      <c r="AD85" s="16">
        <v>0</v>
      </c>
      <c r="AE85" s="16">
        <v>0</v>
      </c>
      <c r="AF85" s="16">
        <v>0</v>
      </c>
      <c r="AG85" s="16">
        <v>0</v>
      </c>
      <c r="AH85" s="14" t="s">
        <v>174</v>
      </c>
      <c r="AI85" s="54">
        <v>0</v>
      </c>
      <c r="AJ85" s="54">
        <v>0</v>
      </c>
      <c r="AK85" s="54">
        <v>0</v>
      </c>
      <c r="AL85" s="54">
        <v>0</v>
      </c>
      <c r="AM85" s="54">
        <v>1</v>
      </c>
      <c r="AN85" s="14" t="s">
        <v>166</v>
      </c>
    </row>
    <row r="86" spans="1:40" ht="63" x14ac:dyDescent="0.25">
      <c r="A86" s="12" t="s">
        <v>1272</v>
      </c>
      <c r="B86" s="12" t="s">
        <v>1273</v>
      </c>
      <c r="C86" s="12" t="s">
        <v>1128</v>
      </c>
      <c r="D86" s="13" t="s">
        <v>68</v>
      </c>
      <c r="E86" s="13" t="s">
        <v>1079</v>
      </c>
      <c r="F86" s="13">
        <v>5392</v>
      </c>
      <c r="G86" s="13" t="s">
        <v>35</v>
      </c>
      <c r="H86" s="13" t="s">
        <v>898</v>
      </c>
      <c r="I86" s="12"/>
      <c r="J86" s="13">
        <v>699286863</v>
      </c>
      <c r="K86" s="13"/>
      <c r="L86" s="13" t="s">
        <v>899</v>
      </c>
      <c r="M86" s="14" t="s">
        <v>1073</v>
      </c>
      <c r="N86" s="13" t="s">
        <v>1068</v>
      </c>
      <c r="O86" s="12" t="s">
        <v>67</v>
      </c>
      <c r="P86" s="12" t="s">
        <v>174</v>
      </c>
      <c r="Q86" s="12" t="s">
        <v>868</v>
      </c>
      <c r="R86" s="12" t="s">
        <v>174</v>
      </c>
      <c r="S86" s="14" t="s">
        <v>166</v>
      </c>
      <c r="T86" s="12" t="s">
        <v>1110</v>
      </c>
      <c r="U86" s="14" t="s">
        <v>780</v>
      </c>
      <c r="V86" s="14"/>
      <c r="W86" s="14"/>
      <c r="X86" s="12"/>
      <c r="Y86" s="12"/>
      <c r="Z86" s="14"/>
      <c r="AA86" s="12"/>
      <c r="AB86" s="15"/>
      <c r="AC86" s="16">
        <v>0</v>
      </c>
      <c r="AD86" s="16">
        <v>0</v>
      </c>
      <c r="AE86" s="16">
        <v>0</v>
      </c>
      <c r="AF86" s="16">
        <v>0</v>
      </c>
      <c r="AG86" s="16">
        <v>1</v>
      </c>
      <c r="AH86" s="14" t="s">
        <v>166</v>
      </c>
      <c r="AI86" s="54">
        <v>0</v>
      </c>
      <c r="AJ86" s="54">
        <v>0</v>
      </c>
      <c r="AK86" s="54">
        <v>0</v>
      </c>
      <c r="AL86" s="54">
        <v>0</v>
      </c>
      <c r="AM86" s="54">
        <v>1</v>
      </c>
      <c r="AN86" s="14" t="s">
        <v>166</v>
      </c>
    </row>
    <row r="87" spans="1:40" ht="47.25" x14ac:dyDescent="0.25">
      <c r="A87" s="12" t="s">
        <v>1274</v>
      </c>
      <c r="B87" s="12" t="s">
        <v>1275</v>
      </c>
      <c r="C87" s="12" t="s">
        <v>1128</v>
      </c>
      <c r="D87" s="13" t="s">
        <v>69</v>
      </c>
      <c r="E87" s="13" t="s">
        <v>70</v>
      </c>
      <c r="F87" s="13">
        <v>2651</v>
      </c>
      <c r="G87" s="13" t="s">
        <v>35</v>
      </c>
      <c r="H87" s="13" t="s">
        <v>270</v>
      </c>
      <c r="I87" s="12"/>
      <c r="J87" s="13">
        <v>676009454</v>
      </c>
      <c r="K87" s="13"/>
      <c r="L87" s="13" t="s">
        <v>271</v>
      </c>
      <c r="M87" s="14" t="s">
        <v>1073</v>
      </c>
      <c r="N87" s="13" t="s">
        <v>1068</v>
      </c>
      <c r="O87" s="12" t="s">
        <v>53</v>
      </c>
      <c r="P87" s="12" t="s">
        <v>174</v>
      </c>
      <c r="Q87" s="12" t="s">
        <v>868</v>
      </c>
      <c r="R87" s="12" t="s">
        <v>174</v>
      </c>
      <c r="S87" s="14" t="s">
        <v>166</v>
      </c>
      <c r="T87" s="12" t="s">
        <v>1110</v>
      </c>
      <c r="U87" s="14" t="s">
        <v>780</v>
      </c>
      <c r="V87" s="14"/>
      <c r="W87" s="14"/>
      <c r="X87" s="12"/>
      <c r="Y87" s="12"/>
      <c r="Z87" s="14"/>
      <c r="AA87" s="12"/>
      <c r="AB87" s="15"/>
      <c r="AC87" s="16">
        <v>0</v>
      </c>
      <c r="AD87" s="16">
        <v>0</v>
      </c>
      <c r="AE87" s="16">
        <v>1</v>
      </c>
      <c r="AF87" s="16">
        <v>0</v>
      </c>
      <c r="AG87" s="16">
        <v>0</v>
      </c>
      <c r="AH87" s="14" t="s">
        <v>166</v>
      </c>
      <c r="AI87" s="54">
        <v>0</v>
      </c>
      <c r="AJ87" s="54">
        <v>0</v>
      </c>
      <c r="AK87" s="54">
        <v>1</v>
      </c>
      <c r="AL87" s="54">
        <v>0</v>
      </c>
      <c r="AM87" s="54">
        <v>1</v>
      </c>
      <c r="AN87" s="14" t="s">
        <v>166</v>
      </c>
    </row>
    <row r="88" spans="1:40" ht="47.25" x14ac:dyDescent="0.25">
      <c r="A88" s="12" t="s">
        <v>1276</v>
      </c>
      <c r="B88" s="12" t="s">
        <v>1277</v>
      </c>
      <c r="C88" s="12" t="s">
        <v>1121</v>
      </c>
      <c r="D88" s="13" t="s">
        <v>26</v>
      </c>
      <c r="E88" s="13" t="s">
        <v>26</v>
      </c>
      <c r="F88" s="13">
        <v>6591</v>
      </c>
      <c r="G88" s="13" t="s">
        <v>27</v>
      </c>
      <c r="H88" s="13" t="s">
        <v>1028</v>
      </c>
      <c r="I88" s="12"/>
      <c r="J88" s="13">
        <v>615496033</v>
      </c>
      <c r="K88" s="13"/>
      <c r="L88" s="13" t="s">
        <v>1050</v>
      </c>
      <c r="M88" s="14" t="s">
        <v>1073</v>
      </c>
      <c r="N88" s="13" t="s">
        <v>1068</v>
      </c>
      <c r="O88" s="12">
        <v>2</v>
      </c>
      <c r="P88" s="12" t="s">
        <v>174</v>
      </c>
      <c r="Q88" s="12" t="s">
        <v>174</v>
      </c>
      <c r="R88" s="12" t="s">
        <v>867</v>
      </c>
      <c r="S88" s="14" t="s">
        <v>166</v>
      </c>
      <c r="T88" s="12" t="s">
        <v>1110</v>
      </c>
      <c r="U88" s="14" t="s">
        <v>780</v>
      </c>
      <c r="V88" s="14"/>
      <c r="W88" s="14"/>
      <c r="X88" s="12"/>
      <c r="Y88" s="12"/>
      <c r="Z88" s="14"/>
      <c r="AA88" s="12"/>
      <c r="AB88" s="15"/>
      <c r="AC88" s="16" t="s">
        <v>111</v>
      </c>
      <c r="AD88" s="16" t="s">
        <v>111</v>
      </c>
      <c r="AE88" s="16" t="s">
        <v>111</v>
      </c>
      <c r="AF88" s="16" t="s">
        <v>111</v>
      </c>
      <c r="AG88" s="16" t="s">
        <v>111</v>
      </c>
      <c r="AH88" s="14" t="s">
        <v>1149</v>
      </c>
      <c r="AI88" s="54">
        <v>0</v>
      </c>
      <c r="AJ88" s="54">
        <v>0</v>
      </c>
      <c r="AK88" s="54">
        <v>0</v>
      </c>
      <c r="AL88" s="54">
        <v>0</v>
      </c>
      <c r="AM88" s="54">
        <v>0</v>
      </c>
      <c r="AN88" s="14" t="s">
        <v>174</v>
      </c>
    </row>
    <row r="89" spans="1:40" ht="47.25" x14ac:dyDescent="0.25">
      <c r="A89" s="12" t="s">
        <v>1278</v>
      </c>
      <c r="B89" s="12" t="s">
        <v>1279</v>
      </c>
      <c r="C89" s="12" t="s">
        <v>1121</v>
      </c>
      <c r="D89" s="13" t="s">
        <v>28</v>
      </c>
      <c r="E89" s="13" t="s">
        <v>28</v>
      </c>
      <c r="F89" s="13">
        <v>5104</v>
      </c>
      <c r="G89" s="13" t="s">
        <v>29</v>
      </c>
      <c r="H89" s="13" t="s">
        <v>812</v>
      </c>
      <c r="I89" s="12"/>
      <c r="J89" s="13">
        <v>650796321</v>
      </c>
      <c r="K89" s="13"/>
      <c r="L89" s="13" t="s">
        <v>813</v>
      </c>
      <c r="M89" s="14" t="s">
        <v>1073</v>
      </c>
      <c r="N89" s="13" t="s">
        <v>1068</v>
      </c>
      <c r="O89" s="12">
        <v>2</v>
      </c>
      <c r="P89" s="12" t="s">
        <v>174</v>
      </c>
      <c r="Q89" s="12" t="s">
        <v>868</v>
      </c>
      <c r="R89" s="12" t="s">
        <v>174</v>
      </c>
      <c r="S89" s="14" t="s">
        <v>166</v>
      </c>
      <c r="T89" s="12" t="s">
        <v>1110</v>
      </c>
      <c r="U89" s="14" t="s">
        <v>780</v>
      </c>
      <c r="V89" s="14"/>
      <c r="W89" s="14"/>
      <c r="X89" s="12"/>
      <c r="Y89" s="12"/>
      <c r="Z89" s="14"/>
      <c r="AA89" s="12"/>
      <c r="AB89" s="15"/>
      <c r="AC89" s="16" t="s">
        <v>111</v>
      </c>
      <c r="AD89" s="16">
        <v>0</v>
      </c>
      <c r="AE89" s="16">
        <v>0</v>
      </c>
      <c r="AF89" s="16">
        <v>0</v>
      </c>
      <c r="AG89" s="16">
        <v>1</v>
      </c>
      <c r="AH89" s="14" t="s">
        <v>1149</v>
      </c>
      <c r="AI89" s="54">
        <v>0</v>
      </c>
      <c r="AJ89" s="54">
        <v>1</v>
      </c>
      <c r="AK89" s="54">
        <v>1</v>
      </c>
      <c r="AL89" s="54">
        <v>1</v>
      </c>
      <c r="AM89" s="54">
        <v>0</v>
      </c>
      <c r="AN89" s="14" t="s">
        <v>166</v>
      </c>
    </row>
    <row r="90" spans="1:40" ht="47.25" x14ac:dyDescent="0.25">
      <c r="A90" s="12" t="s">
        <v>1280</v>
      </c>
      <c r="B90" s="12" t="s">
        <v>1281</v>
      </c>
      <c r="C90" s="12" t="s">
        <v>1121</v>
      </c>
      <c r="D90" s="13" t="s">
        <v>30</v>
      </c>
      <c r="E90" s="13" t="s">
        <v>30</v>
      </c>
      <c r="F90" s="13">
        <v>250</v>
      </c>
      <c r="G90" s="13" t="s">
        <v>31</v>
      </c>
      <c r="H90" s="13" t="s">
        <v>226</v>
      </c>
      <c r="I90" s="12"/>
      <c r="J90" s="13">
        <v>690669823</v>
      </c>
      <c r="K90" s="13"/>
      <c r="L90" s="13" t="s">
        <v>227</v>
      </c>
      <c r="M90" s="14" t="s">
        <v>1073</v>
      </c>
      <c r="N90" s="13" t="s">
        <v>1068</v>
      </c>
      <c r="O90" s="12">
        <v>4</v>
      </c>
      <c r="P90" s="12" t="s">
        <v>174</v>
      </c>
      <c r="Q90" s="12" t="s">
        <v>868</v>
      </c>
      <c r="R90" s="12" t="s">
        <v>174</v>
      </c>
      <c r="S90" s="14" t="s">
        <v>166</v>
      </c>
      <c r="T90" s="12" t="s">
        <v>1110</v>
      </c>
      <c r="U90" s="14" t="s">
        <v>780</v>
      </c>
      <c r="V90" s="14"/>
      <c r="W90" s="14"/>
      <c r="X90" s="12"/>
      <c r="Y90" s="12"/>
      <c r="Z90" s="14"/>
      <c r="AA90" s="12"/>
      <c r="AB90" s="15"/>
      <c r="AC90" s="16" t="s">
        <v>111</v>
      </c>
      <c r="AD90" s="16">
        <v>0</v>
      </c>
      <c r="AE90" s="16">
        <v>0</v>
      </c>
      <c r="AF90" s="16">
        <v>0</v>
      </c>
      <c r="AG90" s="16">
        <v>1</v>
      </c>
      <c r="AH90" s="14" t="s">
        <v>1149</v>
      </c>
      <c r="AI90" s="54">
        <v>0</v>
      </c>
      <c r="AJ90" s="54">
        <v>0</v>
      </c>
      <c r="AK90" s="54">
        <v>0</v>
      </c>
      <c r="AL90" s="54">
        <v>1</v>
      </c>
      <c r="AM90" s="54">
        <v>0</v>
      </c>
      <c r="AN90" s="14" t="s">
        <v>166</v>
      </c>
    </row>
    <row r="91" spans="1:40" ht="47.25" x14ac:dyDescent="0.25">
      <c r="A91" s="12" t="s">
        <v>1282</v>
      </c>
      <c r="B91" s="12" t="s">
        <v>1283</v>
      </c>
      <c r="C91" s="12" t="s">
        <v>1121</v>
      </c>
      <c r="D91" s="13" t="s">
        <v>956</v>
      </c>
      <c r="E91" s="13" t="s">
        <v>953</v>
      </c>
      <c r="F91" s="13">
        <v>5319</v>
      </c>
      <c r="G91" s="13" t="s">
        <v>55</v>
      </c>
      <c r="H91" s="13" t="s">
        <v>810</v>
      </c>
      <c r="I91" s="12"/>
      <c r="J91" s="13">
        <v>683650281</v>
      </c>
      <c r="K91" s="13"/>
      <c r="L91" s="13" t="s">
        <v>811</v>
      </c>
      <c r="M91" s="14" t="s">
        <v>1073</v>
      </c>
      <c r="N91" s="13" t="s">
        <v>1068</v>
      </c>
      <c r="O91" s="12">
        <v>2</v>
      </c>
      <c r="P91" s="12" t="s">
        <v>174</v>
      </c>
      <c r="Q91" s="12" t="s">
        <v>868</v>
      </c>
      <c r="R91" s="12" t="s">
        <v>174</v>
      </c>
      <c r="S91" s="14" t="s">
        <v>166</v>
      </c>
      <c r="T91" s="12" t="s">
        <v>1110</v>
      </c>
      <c r="U91" s="14" t="s">
        <v>780</v>
      </c>
      <c r="V91" s="14"/>
      <c r="W91" s="14"/>
      <c r="X91" s="12"/>
      <c r="Y91" s="12"/>
      <c r="Z91" s="14"/>
      <c r="AA91" s="12"/>
      <c r="AB91" s="15"/>
      <c r="AC91" s="16">
        <v>0</v>
      </c>
      <c r="AD91" s="16">
        <v>0</v>
      </c>
      <c r="AE91" s="16">
        <v>0</v>
      </c>
      <c r="AF91" s="16">
        <v>0</v>
      </c>
      <c r="AG91" s="16">
        <v>1</v>
      </c>
      <c r="AH91" s="14" t="s">
        <v>166</v>
      </c>
      <c r="AI91" s="54">
        <v>0</v>
      </c>
      <c r="AJ91" s="54">
        <v>0</v>
      </c>
      <c r="AK91" s="54">
        <v>1</v>
      </c>
      <c r="AL91" s="54">
        <v>0</v>
      </c>
      <c r="AM91" s="54">
        <v>1</v>
      </c>
      <c r="AN91" s="14" t="s">
        <v>166</v>
      </c>
    </row>
    <row r="92" spans="1:40" ht="47.25" x14ac:dyDescent="0.25">
      <c r="A92" s="12" t="s">
        <v>1284</v>
      </c>
      <c r="B92" s="12" t="s">
        <v>1285</v>
      </c>
      <c r="C92" s="12" t="s">
        <v>1121</v>
      </c>
      <c r="D92" s="13" t="s">
        <v>957</v>
      </c>
      <c r="E92" s="13" t="s">
        <v>954</v>
      </c>
      <c r="F92" s="13">
        <v>2541</v>
      </c>
      <c r="G92" s="13" t="s">
        <v>45</v>
      </c>
      <c r="H92" s="13" t="s">
        <v>222</v>
      </c>
      <c r="I92" s="12"/>
      <c r="J92" s="13">
        <v>676104593</v>
      </c>
      <c r="K92" s="13"/>
      <c r="L92" s="13" t="s">
        <v>223</v>
      </c>
      <c r="M92" s="14" t="s">
        <v>1073</v>
      </c>
      <c r="N92" s="13" t="s">
        <v>1068</v>
      </c>
      <c r="O92" s="12">
        <v>2</v>
      </c>
      <c r="P92" s="12" t="s">
        <v>174</v>
      </c>
      <c r="Q92" s="12" t="s">
        <v>868</v>
      </c>
      <c r="R92" s="12" t="s">
        <v>174</v>
      </c>
      <c r="S92" s="14" t="s">
        <v>166</v>
      </c>
      <c r="T92" s="12" t="s">
        <v>1110</v>
      </c>
      <c r="U92" s="14" t="s">
        <v>780</v>
      </c>
      <c r="V92" s="14"/>
      <c r="W92" s="14"/>
      <c r="X92" s="12"/>
      <c r="Y92" s="12"/>
      <c r="Z92" s="14"/>
      <c r="AA92" s="12"/>
      <c r="AB92" s="15"/>
      <c r="AC92" s="16">
        <v>0</v>
      </c>
      <c r="AD92" s="16">
        <v>0</v>
      </c>
      <c r="AE92" s="16">
        <v>0</v>
      </c>
      <c r="AF92" s="16">
        <v>0</v>
      </c>
      <c r="AG92" s="16">
        <v>1</v>
      </c>
      <c r="AH92" s="14" t="s">
        <v>166</v>
      </c>
      <c r="AI92" s="54">
        <v>0</v>
      </c>
      <c r="AJ92" s="54">
        <v>0</v>
      </c>
      <c r="AK92" s="54">
        <v>0</v>
      </c>
      <c r="AL92" s="54">
        <v>0</v>
      </c>
      <c r="AM92" s="54">
        <v>1</v>
      </c>
      <c r="AN92" s="14" t="s">
        <v>166</v>
      </c>
    </row>
    <row r="93" spans="1:40" ht="47.25" x14ac:dyDescent="0.25">
      <c r="A93" s="12" t="s">
        <v>1284</v>
      </c>
      <c r="B93" s="12" t="s">
        <v>1285</v>
      </c>
      <c r="C93" s="12" t="s">
        <v>1121</v>
      </c>
      <c r="D93" s="13" t="s">
        <v>957</v>
      </c>
      <c r="E93" s="13" t="s">
        <v>954</v>
      </c>
      <c r="F93" s="13">
        <v>5104</v>
      </c>
      <c r="G93" s="13" t="s">
        <v>45</v>
      </c>
      <c r="H93" s="13" t="s">
        <v>812</v>
      </c>
      <c r="I93" s="12"/>
      <c r="J93" s="13">
        <v>650796321</v>
      </c>
      <c r="K93" s="13"/>
      <c r="L93" s="13" t="s">
        <v>813</v>
      </c>
      <c r="M93" s="14" t="s">
        <v>1073</v>
      </c>
      <c r="N93" s="13" t="s">
        <v>1068</v>
      </c>
      <c r="O93" s="12">
        <v>2</v>
      </c>
      <c r="P93" s="12" t="s">
        <v>174</v>
      </c>
      <c r="Q93" s="12" t="s">
        <v>868</v>
      </c>
      <c r="R93" s="12" t="s">
        <v>174</v>
      </c>
      <c r="S93" s="14" t="s">
        <v>166</v>
      </c>
      <c r="T93" s="12" t="s">
        <v>1110</v>
      </c>
      <c r="U93" s="14" t="s">
        <v>780</v>
      </c>
      <c r="V93" s="14"/>
      <c r="W93" s="14"/>
      <c r="X93" s="12"/>
      <c r="Y93" s="12"/>
      <c r="Z93" s="14"/>
      <c r="AA93" s="12"/>
      <c r="AB93" s="15"/>
      <c r="AC93" s="16">
        <v>0</v>
      </c>
      <c r="AD93" s="16">
        <v>0</v>
      </c>
      <c r="AE93" s="16">
        <v>0</v>
      </c>
      <c r="AF93" s="16">
        <v>0</v>
      </c>
      <c r="AG93" s="16">
        <v>1</v>
      </c>
      <c r="AH93" s="14" t="s">
        <v>166</v>
      </c>
      <c r="AI93" s="54">
        <v>0</v>
      </c>
      <c r="AJ93" s="54">
        <v>0</v>
      </c>
      <c r="AK93" s="54">
        <v>1</v>
      </c>
      <c r="AL93" s="54">
        <v>0</v>
      </c>
      <c r="AM93" s="54">
        <v>1</v>
      </c>
      <c r="AN93" s="14" t="s">
        <v>166</v>
      </c>
    </row>
    <row r="94" spans="1:40" ht="47.25" x14ac:dyDescent="0.25">
      <c r="A94" s="12" t="s">
        <v>1286</v>
      </c>
      <c r="B94" s="12" t="s">
        <v>1287</v>
      </c>
      <c r="C94" s="12" t="s">
        <v>1121</v>
      </c>
      <c r="D94" s="13" t="s">
        <v>958</v>
      </c>
      <c r="E94" s="13" t="s">
        <v>955</v>
      </c>
      <c r="F94" s="13">
        <v>3892</v>
      </c>
      <c r="G94" s="13" t="s">
        <v>45</v>
      </c>
      <c r="H94" s="13" t="s">
        <v>224</v>
      </c>
      <c r="I94" s="12"/>
      <c r="J94" s="13">
        <v>682818975</v>
      </c>
      <c r="K94" s="13"/>
      <c r="L94" s="13" t="s">
        <v>225</v>
      </c>
      <c r="M94" s="14" t="s">
        <v>1116</v>
      </c>
      <c r="N94" s="13" t="s">
        <v>1107</v>
      </c>
      <c r="O94" s="12">
        <v>4</v>
      </c>
      <c r="P94" s="12" t="s">
        <v>174</v>
      </c>
      <c r="Q94" s="12" t="s">
        <v>868</v>
      </c>
      <c r="R94" s="12" t="s">
        <v>174</v>
      </c>
      <c r="S94" s="14" t="s">
        <v>166</v>
      </c>
      <c r="T94" s="12" t="s">
        <v>1110</v>
      </c>
      <c r="U94" s="14" t="s">
        <v>1078</v>
      </c>
      <c r="V94" s="14"/>
      <c r="W94" s="14"/>
      <c r="X94" s="12"/>
      <c r="Y94" s="12"/>
      <c r="Z94" s="14"/>
      <c r="AA94" s="12"/>
      <c r="AB94" s="15"/>
      <c r="AC94" s="16">
        <v>0</v>
      </c>
      <c r="AD94" s="16">
        <v>0</v>
      </c>
      <c r="AE94" s="16">
        <v>0</v>
      </c>
      <c r="AF94" s="16">
        <v>0</v>
      </c>
      <c r="AG94" s="16">
        <v>1</v>
      </c>
      <c r="AH94" s="14" t="s">
        <v>166</v>
      </c>
      <c r="AI94" s="54">
        <v>0</v>
      </c>
      <c r="AJ94" s="54">
        <v>0</v>
      </c>
      <c r="AK94" s="54">
        <v>0</v>
      </c>
      <c r="AL94" s="54">
        <v>1</v>
      </c>
      <c r="AM94" s="54">
        <v>1</v>
      </c>
      <c r="AN94" s="14" t="s">
        <v>166</v>
      </c>
    </row>
    <row r="95" spans="1:40" ht="47.25" x14ac:dyDescent="0.25">
      <c r="A95" s="12" t="s">
        <v>1288</v>
      </c>
      <c r="B95" s="12" t="s">
        <v>1289</v>
      </c>
      <c r="C95" s="12" t="s">
        <v>1121</v>
      </c>
      <c r="D95" s="13" t="s">
        <v>956</v>
      </c>
      <c r="E95" s="13" t="s">
        <v>953</v>
      </c>
      <c r="F95" s="13">
        <v>4827</v>
      </c>
      <c r="G95" s="13" t="s">
        <v>35</v>
      </c>
      <c r="H95" s="13" t="s">
        <v>228</v>
      </c>
      <c r="I95" s="12"/>
      <c r="J95" s="13">
        <v>669289284</v>
      </c>
      <c r="K95" s="13"/>
      <c r="L95" s="13" t="s">
        <v>229</v>
      </c>
      <c r="M95" s="14" t="s">
        <v>1073</v>
      </c>
      <c r="N95" s="13" t="s">
        <v>1068</v>
      </c>
      <c r="O95" s="12">
        <v>2</v>
      </c>
      <c r="P95" s="12" t="s">
        <v>174</v>
      </c>
      <c r="Q95" s="12" t="s">
        <v>868</v>
      </c>
      <c r="R95" s="12" t="s">
        <v>174</v>
      </c>
      <c r="S95" s="14" t="s">
        <v>166</v>
      </c>
      <c r="T95" s="12" t="s">
        <v>1110</v>
      </c>
      <c r="U95" s="14" t="s">
        <v>780</v>
      </c>
      <c r="V95" s="14"/>
      <c r="W95" s="14"/>
      <c r="X95" s="12"/>
      <c r="Y95" s="12"/>
      <c r="Z95" s="14"/>
      <c r="AA95" s="12"/>
      <c r="AB95" s="15"/>
      <c r="AC95" s="16">
        <v>0</v>
      </c>
      <c r="AD95" s="16">
        <v>0</v>
      </c>
      <c r="AE95" s="16">
        <v>0</v>
      </c>
      <c r="AF95" s="16">
        <v>0</v>
      </c>
      <c r="AG95" s="16">
        <v>1</v>
      </c>
      <c r="AH95" s="14" t="s">
        <v>166</v>
      </c>
      <c r="AI95" s="54">
        <v>0</v>
      </c>
      <c r="AJ95" s="54">
        <v>0</v>
      </c>
      <c r="AK95" s="54">
        <v>1</v>
      </c>
      <c r="AL95" s="54">
        <v>0</v>
      </c>
      <c r="AM95" s="54">
        <v>1</v>
      </c>
      <c r="AN95" s="14" t="s">
        <v>166</v>
      </c>
    </row>
    <row r="96" spans="1:40" ht="47.25" x14ac:dyDescent="0.25">
      <c r="A96" s="12" t="s">
        <v>1290</v>
      </c>
      <c r="B96" s="12" t="s">
        <v>1291</v>
      </c>
      <c r="C96" s="12" t="s">
        <v>1121</v>
      </c>
      <c r="D96" s="13" t="s">
        <v>957</v>
      </c>
      <c r="E96" s="13" t="s">
        <v>954</v>
      </c>
      <c r="F96" s="13">
        <v>250</v>
      </c>
      <c r="G96" s="13" t="s">
        <v>35</v>
      </c>
      <c r="H96" s="13" t="s">
        <v>226</v>
      </c>
      <c r="I96" s="12"/>
      <c r="J96" s="13">
        <v>690669823</v>
      </c>
      <c r="K96" s="13"/>
      <c r="L96" s="13" t="s">
        <v>227</v>
      </c>
      <c r="M96" s="14" t="s">
        <v>1073</v>
      </c>
      <c r="N96" s="13" t="s">
        <v>1068</v>
      </c>
      <c r="O96" s="12">
        <v>2</v>
      </c>
      <c r="P96" s="12" t="s">
        <v>174</v>
      </c>
      <c r="Q96" s="12" t="s">
        <v>868</v>
      </c>
      <c r="R96" s="12" t="s">
        <v>174</v>
      </c>
      <c r="S96" s="14" t="s">
        <v>166</v>
      </c>
      <c r="T96" s="12" t="s">
        <v>1110</v>
      </c>
      <c r="U96" s="14" t="s">
        <v>780</v>
      </c>
      <c r="V96" s="14"/>
      <c r="W96" s="14"/>
      <c r="X96" s="12"/>
      <c r="Y96" s="12"/>
      <c r="Z96" s="14"/>
      <c r="AA96" s="12"/>
      <c r="AB96" s="15"/>
      <c r="AC96" s="16">
        <v>0</v>
      </c>
      <c r="AD96" s="16">
        <v>0</v>
      </c>
      <c r="AE96" s="16">
        <v>0</v>
      </c>
      <c r="AF96" s="16">
        <v>0</v>
      </c>
      <c r="AG96" s="16">
        <v>1</v>
      </c>
      <c r="AH96" s="14" t="s">
        <v>166</v>
      </c>
      <c r="AI96" s="54">
        <v>0</v>
      </c>
      <c r="AJ96" s="54">
        <v>0</v>
      </c>
      <c r="AK96" s="54">
        <v>1</v>
      </c>
      <c r="AL96" s="54">
        <v>0</v>
      </c>
      <c r="AM96" s="54">
        <v>0</v>
      </c>
      <c r="AN96" s="14" t="s">
        <v>166</v>
      </c>
    </row>
    <row r="97" spans="1:40" ht="47.25" x14ac:dyDescent="0.25">
      <c r="A97" s="12" t="s">
        <v>1292</v>
      </c>
      <c r="B97" s="12" t="s">
        <v>1293</v>
      </c>
      <c r="C97" s="12" t="s">
        <v>1121</v>
      </c>
      <c r="D97" s="13" t="s">
        <v>958</v>
      </c>
      <c r="E97" s="13" t="s">
        <v>955</v>
      </c>
      <c r="F97" s="13">
        <v>250</v>
      </c>
      <c r="G97" s="13" t="s">
        <v>35</v>
      </c>
      <c r="H97" s="13" t="s">
        <v>226</v>
      </c>
      <c r="I97" s="12"/>
      <c r="J97" s="13">
        <v>690669823</v>
      </c>
      <c r="K97" s="13"/>
      <c r="L97" s="13" t="s">
        <v>227</v>
      </c>
      <c r="M97" s="14" t="s">
        <v>1073</v>
      </c>
      <c r="N97" s="13" t="s">
        <v>1068</v>
      </c>
      <c r="O97" s="12">
        <v>2</v>
      </c>
      <c r="P97" s="12" t="s">
        <v>174</v>
      </c>
      <c r="Q97" s="12" t="s">
        <v>868</v>
      </c>
      <c r="R97" s="12" t="s">
        <v>174</v>
      </c>
      <c r="S97" s="14" t="s">
        <v>166</v>
      </c>
      <c r="T97" s="12" t="s">
        <v>1110</v>
      </c>
      <c r="U97" s="14" t="s">
        <v>780</v>
      </c>
      <c r="V97" s="14"/>
      <c r="W97" s="14"/>
      <c r="X97" s="12"/>
      <c r="Y97" s="12"/>
      <c r="Z97" s="14"/>
      <c r="AA97" s="12"/>
      <c r="AB97" s="15"/>
      <c r="AC97" s="16">
        <v>0</v>
      </c>
      <c r="AD97" s="16">
        <v>0</v>
      </c>
      <c r="AE97" s="16">
        <v>0</v>
      </c>
      <c r="AF97" s="16">
        <v>0</v>
      </c>
      <c r="AG97" s="16">
        <v>1</v>
      </c>
      <c r="AH97" s="14" t="s">
        <v>166</v>
      </c>
      <c r="AI97" s="54">
        <v>0</v>
      </c>
      <c r="AJ97" s="54">
        <v>0</v>
      </c>
      <c r="AK97" s="54">
        <v>0</v>
      </c>
      <c r="AL97" s="54">
        <v>1</v>
      </c>
      <c r="AM97" s="54">
        <v>1</v>
      </c>
      <c r="AN97" s="14" t="s">
        <v>166</v>
      </c>
    </row>
    <row r="98" spans="1:40" ht="47.25" x14ac:dyDescent="0.25">
      <c r="A98" s="12" t="s">
        <v>1294</v>
      </c>
      <c r="B98" s="12" t="s">
        <v>1295</v>
      </c>
      <c r="C98" s="12" t="s">
        <v>1131</v>
      </c>
      <c r="D98" s="13" t="s">
        <v>26</v>
      </c>
      <c r="E98" s="13" t="s">
        <v>26</v>
      </c>
      <c r="F98" s="13">
        <v>6591</v>
      </c>
      <c r="G98" s="13" t="s">
        <v>27</v>
      </c>
      <c r="H98" s="13" t="s">
        <v>1028</v>
      </c>
      <c r="I98" s="12"/>
      <c r="J98" s="13">
        <v>615496033</v>
      </c>
      <c r="K98" s="13"/>
      <c r="L98" s="13" t="s">
        <v>1050</v>
      </c>
      <c r="M98" s="14" t="s">
        <v>1073</v>
      </c>
      <c r="N98" s="13" t="s">
        <v>1068</v>
      </c>
      <c r="O98" s="12">
        <v>6</v>
      </c>
      <c r="P98" s="12" t="s">
        <v>174</v>
      </c>
      <c r="Q98" s="12" t="s">
        <v>174</v>
      </c>
      <c r="R98" s="12" t="s">
        <v>867</v>
      </c>
      <c r="S98" s="14" t="s">
        <v>166</v>
      </c>
      <c r="T98" s="12" t="s">
        <v>1110</v>
      </c>
      <c r="U98" s="14" t="s">
        <v>780</v>
      </c>
      <c r="V98" s="14"/>
      <c r="W98" s="14"/>
      <c r="X98" s="12"/>
      <c r="Y98" s="12"/>
      <c r="Z98" s="14"/>
      <c r="AA98" s="12"/>
      <c r="AB98" s="15"/>
      <c r="AC98" s="16" t="s">
        <v>111</v>
      </c>
      <c r="AD98" s="16" t="s">
        <v>111</v>
      </c>
      <c r="AE98" s="16" t="s">
        <v>111</v>
      </c>
      <c r="AF98" s="16" t="s">
        <v>111</v>
      </c>
      <c r="AG98" s="16" t="s">
        <v>111</v>
      </c>
      <c r="AH98" s="14" t="s">
        <v>1149</v>
      </c>
      <c r="AI98" s="54">
        <v>0</v>
      </c>
      <c r="AJ98" s="54">
        <v>0</v>
      </c>
      <c r="AK98" s="54">
        <v>0</v>
      </c>
      <c r="AL98" s="54">
        <v>0</v>
      </c>
      <c r="AM98" s="54">
        <v>0</v>
      </c>
      <c r="AN98" s="14" t="s">
        <v>174</v>
      </c>
    </row>
    <row r="99" spans="1:40" ht="47.25" x14ac:dyDescent="0.25">
      <c r="A99" s="12" t="s">
        <v>1296</v>
      </c>
      <c r="B99" s="12" t="s">
        <v>1297</v>
      </c>
      <c r="C99" s="12" t="s">
        <v>1131</v>
      </c>
      <c r="D99" s="13" t="s">
        <v>28</v>
      </c>
      <c r="E99" s="13" t="s">
        <v>28</v>
      </c>
      <c r="F99" s="13">
        <v>15</v>
      </c>
      <c r="G99" s="13" t="s">
        <v>29</v>
      </c>
      <c r="H99" s="13" t="s">
        <v>454</v>
      </c>
      <c r="I99" s="12"/>
      <c r="J99" s="13">
        <v>609630122</v>
      </c>
      <c r="K99" s="13"/>
      <c r="L99" s="13" t="s">
        <v>455</v>
      </c>
      <c r="M99" s="14" t="s">
        <v>1074</v>
      </c>
      <c r="N99" s="13" t="s">
        <v>1069</v>
      </c>
      <c r="O99" s="12">
        <v>6</v>
      </c>
      <c r="P99" s="12" t="s">
        <v>174</v>
      </c>
      <c r="Q99" s="12" t="s">
        <v>868</v>
      </c>
      <c r="R99" s="12" t="s">
        <v>174</v>
      </c>
      <c r="S99" s="14" t="s">
        <v>166</v>
      </c>
      <c r="T99" s="12" t="s">
        <v>1110</v>
      </c>
      <c r="U99" s="14" t="s">
        <v>781</v>
      </c>
      <c r="V99" s="14"/>
      <c r="W99" s="14"/>
      <c r="X99" s="12"/>
      <c r="Y99" s="12"/>
      <c r="Z99" s="14"/>
      <c r="AA99" s="12"/>
      <c r="AB99" s="15"/>
      <c r="AC99" s="16" t="s">
        <v>111</v>
      </c>
      <c r="AD99" s="16">
        <v>1</v>
      </c>
      <c r="AE99" s="16">
        <v>0</v>
      </c>
      <c r="AF99" s="16">
        <v>0</v>
      </c>
      <c r="AG99" s="16">
        <v>0</v>
      </c>
      <c r="AH99" s="14" t="s">
        <v>1149</v>
      </c>
      <c r="AI99" s="54">
        <v>0</v>
      </c>
      <c r="AJ99" s="54">
        <v>1</v>
      </c>
      <c r="AK99" s="54">
        <v>1</v>
      </c>
      <c r="AL99" s="54">
        <v>1</v>
      </c>
      <c r="AM99" s="54">
        <v>1</v>
      </c>
      <c r="AN99" s="14" t="s">
        <v>166</v>
      </c>
    </row>
    <row r="100" spans="1:40" ht="47.25" x14ac:dyDescent="0.25">
      <c r="A100" s="12" t="s">
        <v>1298</v>
      </c>
      <c r="B100" s="12" t="s">
        <v>1299</v>
      </c>
      <c r="C100" s="12" t="s">
        <v>1131</v>
      </c>
      <c r="D100" s="13" t="s">
        <v>30</v>
      </c>
      <c r="E100" s="13" t="s">
        <v>30</v>
      </c>
      <c r="F100" s="13">
        <v>2253</v>
      </c>
      <c r="G100" s="13" t="s">
        <v>31</v>
      </c>
      <c r="H100" s="13" t="s">
        <v>414</v>
      </c>
      <c r="I100" s="12"/>
      <c r="J100" s="13">
        <v>661684057</v>
      </c>
      <c r="K100" s="13"/>
      <c r="L100" s="13" t="s">
        <v>415</v>
      </c>
      <c r="M100" s="14" t="s">
        <v>1073</v>
      </c>
      <c r="N100" s="13" t="s">
        <v>1068</v>
      </c>
      <c r="O100" s="12">
        <v>1</v>
      </c>
      <c r="P100" s="12" t="s">
        <v>174</v>
      </c>
      <c r="Q100" s="12" t="s">
        <v>868</v>
      </c>
      <c r="R100" s="12" t="s">
        <v>174</v>
      </c>
      <c r="S100" s="14" t="s">
        <v>166</v>
      </c>
      <c r="T100" s="12" t="s">
        <v>1110</v>
      </c>
      <c r="U100" s="14" t="s">
        <v>780</v>
      </c>
      <c r="V100" s="14"/>
      <c r="W100" s="14"/>
      <c r="X100" s="12"/>
      <c r="Y100" s="12"/>
      <c r="Z100" s="14"/>
      <c r="AA100" s="12"/>
      <c r="AB100" s="15"/>
      <c r="AC100" s="16" t="s">
        <v>111</v>
      </c>
      <c r="AD100" s="16">
        <v>0</v>
      </c>
      <c r="AE100" s="16">
        <v>0</v>
      </c>
      <c r="AF100" s="16">
        <v>0</v>
      </c>
      <c r="AG100" s="16">
        <v>0</v>
      </c>
      <c r="AH100" s="14" t="s">
        <v>1149</v>
      </c>
      <c r="AI100" s="54">
        <v>1</v>
      </c>
      <c r="AJ100" s="54">
        <v>0</v>
      </c>
      <c r="AK100" s="54">
        <v>0</v>
      </c>
      <c r="AL100" s="54">
        <v>1</v>
      </c>
      <c r="AM100" s="54">
        <v>1</v>
      </c>
      <c r="AN100" s="14" t="s">
        <v>166</v>
      </c>
    </row>
    <row r="101" spans="1:40" ht="47.25" x14ac:dyDescent="0.25">
      <c r="A101" s="12" t="s">
        <v>1298</v>
      </c>
      <c r="B101" s="12" t="s">
        <v>1299</v>
      </c>
      <c r="C101" s="12" t="s">
        <v>1131</v>
      </c>
      <c r="D101" s="13" t="s">
        <v>30</v>
      </c>
      <c r="E101" s="13" t="s">
        <v>30</v>
      </c>
      <c r="F101" s="13">
        <v>6844</v>
      </c>
      <c r="G101" s="13" t="s">
        <v>31</v>
      </c>
      <c r="H101" s="13" t="s">
        <v>1029</v>
      </c>
      <c r="I101" s="12"/>
      <c r="J101" s="13">
        <v>639478280</v>
      </c>
      <c r="K101" s="13"/>
      <c r="L101" s="13" t="s">
        <v>1051</v>
      </c>
      <c r="M101" s="14" t="s">
        <v>1073</v>
      </c>
      <c r="N101" s="13" t="s">
        <v>1068</v>
      </c>
      <c r="O101" s="12">
        <v>1</v>
      </c>
      <c r="P101" s="12" t="s">
        <v>174</v>
      </c>
      <c r="Q101" s="12" t="s">
        <v>868</v>
      </c>
      <c r="R101" s="12" t="s">
        <v>174</v>
      </c>
      <c r="S101" s="14" t="s">
        <v>166</v>
      </c>
      <c r="T101" s="12" t="s">
        <v>1199</v>
      </c>
      <c r="U101" s="14" t="s">
        <v>780</v>
      </c>
      <c r="V101" s="14"/>
      <c r="W101" s="14"/>
      <c r="X101" s="12"/>
      <c r="Y101" s="12"/>
      <c r="Z101" s="14"/>
      <c r="AA101" s="12"/>
      <c r="AB101" s="15"/>
      <c r="AC101" s="16" t="s">
        <v>111</v>
      </c>
      <c r="AD101" s="16">
        <v>0</v>
      </c>
      <c r="AE101" s="16">
        <v>0</v>
      </c>
      <c r="AF101" s="16">
        <v>0</v>
      </c>
      <c r="AG101" s="16">
        <v>0</v>
      </c>
      <c r="AH101" s="14" t="s">
        <v>1149</v>
      </c>
      <c r="AI101" s="54">
        <v>1</v>
      </c>
      <c r="AJ101" s="54">
        <v>0</v>
      </c>
      <c r="AK101" s="54">
        <v>0</v>
      </c>
      <c r="AL101" s="54">
        <v>1</v>
      </c>
      <c r="AM101" s="54">
        <v>1</v>
      </c>
      <c r="AN101" s="14" t="s">
        <v>166</v>
      </c>
    </row>
    <row r="102" spans="1:40" ht="141.75" x14ac:dyDescent="0.25">
      <c r="A102" s="12" t="s">
        <v>1300</v>
      </c>
      <c r="B102" s="12" t="s">
        <v>1301</v>
      </c>
      <c r="C102" s="12" t="s">
        <v>1131</v>
      </c>
      <c r="D102" s="13" t="s">
        <v>972</v>
      </c>
      <c r="E102" s="13" t="s">
        <v>963</v>
      </c>
      <c r="F102" s="13">
        <v>4780</v>
      </c>
      <c r="G102" s="13" t="s">
        <v>34</v>
      </c>
      <c r="H102" s="13" t="s">
        <v>689</v>
      </c>
      <c r="I102" s="12"/>
      <c r="J102" s="13">
        <v>680678747</v>
      </c>
      <c r="K102" s="13"/>
      <c r="L102" s="13" t="s">
        <v>918</v>
      </c>
      <c r="M102" s="14" t="s">
        <v>1073</v>
      </c>
      <c r="N102" s="13" t="s">
        <v>1068</v>
      </c>
      <c r="O102" s="12">
        <v>1</v>
      </c>
      <c r="P102" s="12" t="s">
        <v>174</v>
      </c>
      <c r="Q102" s="12" t="s">
        <v>868</v>
      </c>
      <c r="R102" s="12" t="s">
        <v>174</v>
      </c>
      <c r="S102" s="14" t="s">
        <v>166</v>
      </c>
      <c r="T102" s="12" t="s">
        <v>1110</v>
      </c>
      <c r="U102" s="14" t="s">
        <v>780</v>
      </c>
      <c r="V102" s="14"/>
      <c r="W102" s="14"/>
      <c r="X102" s="12"/>
      <c r="Y102" s="12"/>
      <c r="Z102" s="14"/>
      <c r="AA102" s="12"/>
      <c r="AB102" s="15"/>
      <c r="AC102" s="16">
        <v>0</v>
      </c>
      <c r="AD102" s="16">
        <v>0</v>
      </c>
      <c r="AE102" s="16">
        <v>0</v>
      </c>
      <c r="AF102" s="16">
        <v>0</v>
      </c>
      <c r="AG102" s="16">
        <v>1</v>
      </c>
      <c r="AH102" s="14" t="s">
        <v>166</v>
      </c>
      <c r="AI102" s="54">
        <v>0</v>
      </c>
      <c r="AJ102" s="54">
        <v>0</v>
      </c>
      <c r="AK102" s="54">
        <v>0</v>
      </c>
      <c r="AL102" s="54">
        <v>0</v>
      </c>
      <c r="AM102" s="54">
        <v>1</v>
      </c>
      <c r="AN102" s="14" t="s">
        <v>166</v>
      </c>
    </row>
    <row r="103" spans="1:40" ht="47.25" x14ac:dyDescent="0.25">
      <c r="A103" s="12" t="s">
        <v>1302</v>
      </c>
      <c r="B103" s="12" t="s">
        <v>1303</v>
      </c>
      <c r="C103" s="12" t="s">
        <v>1131</v>
      </c>
      <c r="D103" s="13" t="s">
        <v>89</v>
      </c>
      <c r="E103" s="13" t="s">
        <v>783</v>
      </c>
      <c r="F103" s="13">
        <v>2493</v>
      </c>
      <c r="G103" s="13" t="s">
        <v>55</v>
      </c>
      <c r="H103" s="13" t="s">
        <v>410</v>
      </c>
      <c r="I103" s="12"/>
      <c r="J103" s="13">
        <v>682844423</v>
      </c>
      <c r="K103" s="13"/>
      <c r="L103" s="13" t="s">
        <v>411</v>
      </c>
      <c r="M103" s="14" t="s">
        <v>1073</v>
      </c>
      <c r="N103" s="13" t="s">
        <v>1068</v>
      </c>
      <c r="O103" s="12">
        <v>1</v>
      </c>
      <c r="P103" s="12" t="s">
        <v>174</v>
      </c>
      <c r="Q103" s="12" t="s">
        <v>868</v>
      </c>
      <c r="R103" s="12" t="s">
        <v>174</v>
      </c>
      <c r="S103" s="14" t="s">
        <v>166</v>
      </c>
      <c r="T103" s="12" t="s">
        <v>1110</v>
      </c>
      <c r="U103" s="14" t="s">
        <v>780</v>
      </c>
      <c r="V103" s="14"/>
      <c r="W103" s="14"/>
      <c r="X103" s="12"/>
      <c r="Y103" s="12"/>
      <c r="Z103" s="14"/>
      <c r="AA103" s="12"/>
      <c r="AB103" s="15"/>
      <c r="AC103" s="16">
        <v>1</v>
      </c>
      <c r="AD103" s="16">
        <v>0</v>
      </c>
      <c r="AE103" s="16">
        <v>0</v>
      </c>
      <c r="AF103" s="16">
        <v>0</v>
      </c>
      <c r="AG103" s="16">
        <v>0</v>
      </c>
      <c r="AH103" s="14" t="s">
        <v>166</v>
      </c>
      <c r="AI103" s="54">
        <v>1</v>
      </c>
      <c r="AJ103" s="54">
        <v>0</v>
      </c>
      <c r="AK103" s="54">
        <v>0</v>
      </c>
      <c r="AL103" s="54">
        <v>0</v>
      </c>
      <c r="AM103" s="54">
        <v>0</v>
      </c>
      <c r="AN103" s="14" t="s">
        <v>166</v>
      </c>
    </row>
    <row r="104" spans="1:40" ht="47.25" x14ac:dyDescent="0.25">
      <c r="A104" s="12" t="s">
        <v>1304</v>
      </c>
      <c r="B104" s="12" t="s">
        <v>1305</v>
      </c>
      <c r="C104" s="12" t="s">
        <v>1131</v>
      </c>
      <c r="D104" s="13" t="s">
        <v>90</v>
      </c>
      <c r="E104" s="13" t="s">
        <v>784</v>
      </c>
      <c r="F104" s="13">
        <v>2253</v>
      </c>
      <c r="G104" s="13" t="s">
        <v>55</v>
      </c>
      <c r="H104" s="13" t="s">
        <v>414</v>
      </c>
      <c r="I104" s="12"/>
      <c r="J104" s="13">
        <v>661684057</v>
      </c>
      <c r="K104" s="13"/>
      <c r="L104" s="13" t="s">
        <v>415</v>
      </c>
      <c r="M104" s="14" t="s">
        <v>1073</v>
      </c>
      <c r="N104" s="13" t="s">
        <v>1068</v>
      </c>
      <c r="O104" s="12">
        <v>1</v>
      </c>
      <c r="P104" s="12" t="s">
        <v>174</v>
      </c>
      <c r="Q104" s="12" t="s">
        <v>868</v>
      </c>
      <c r="R104" s="12" t="s">
        <v>174</v>
      </c>
      <c r="S104" s="14" t="s">
        <v>166</v>
      </c>
      <c r="T104" s="12" t="s">
        <v>1110</v>
      </c>
      <c r="U104" s="14" t="s">
        <v>780</v>
      </c>
      <c r="V104" s="14"/>
      <c r="W104" s="14"/>
      <c r="X104" s="12"/>
      <c r="Y104" s="12"/>
      <c r="Z104" s="14"/>
      <c r="AA104" s="12"/>
      <c r="AB104" s="15"/>
      <c r="AC104" s="16">
        <v>1</v>
      </c>
      <c r="AD104" s="16">
        <v>0</v>
      </c>
      <c r="AE104" s="16">
        <v>0</v>
      </c>
      <c r="AF104" s="16">
        <v>0</v>
      </c>
      <c r="AG104" s="16">
        <v>0</v>
      </c>
      <c r="AH104" s="14" t="s">
        <v>166</v>
      </c>
      <c r="AI104" s="54">
        <v>1</v>
      </c>
      <c r="AJ104" s="54">
        <v>0</v>
      </c>
      <c r="AK104" s="54">
        <v>0</v>
      </c>
      <c r="AL104" s="54">
        <v>1</v>
      </c>
      <c r="AM104" s="54">
        <v>1</v>
      </c>
      <c r="AN104" s="14" t="s">
        <v>166</v>
      </c>
    </row>
    <row r="105" spans="1:40" ht="141.75" x14ac:dyDescent="0.25">
      <c r="A105" s="12" t="s">
        <v>1306</v>
      </c>
      <c r="B105" s="12" t="s">
        <v>1307</v>
      </c>
      <c r="C105" s="12" t="s">
        <v>1131</v>
      </c>
      <c r="D105" s="13" t="s">
        <v>972</v>
      </c>
      <c r="E105" s="13" t="s">
        <v>963</v>
      </c>
      <c r="F105" s="13">
        <v>15</v>
      </c>
      <c r="G105" s="13" t="s">
        <v>41</v>
      </c>
      <c r="H105" s="13" t="s">
        <v>454</v>
      </c>
      <c r="I105" s="12"/>
      <c r="J105" s="13">
        <v>609630122</v>
      </c>
      <c r="K105" s="13"/>
      <c r="L105" s="13" t="s">
        <v>455</v>
      </c>
      <c r="M105" s="14" t="s">
        <v>1074</v>
      </c>
      <c r="N105" s="13" t="s">
        <v>1069</v>
      </c>
      <c r="O105" s="12">
        <v>6</v>
      </c>
      <c r="P105" s="12" t="s">
        <v>174</v>
      </c>
      <c r="Q105" s="12" t="s">
        <v>868</v>
      </c>
      <c r="R105" s="12" t="s">
        <v>174</v>
      </c>
      <c r="S105" s="14" t="s">
        <v>166</v>
      </c>
      <c r="T105" s="12" t="s">
        <v>1110</v>
      </c>
      <c r="U105" s="14" t="s">
        <v>781</v>
      </c>
      <c r="V105" s="14"/>
      <c r="W105" s="14"/>
      <c r="X105" s="12"/>
      <c r="Y105" s="12"/>
      <c r="Z105" s="14"/>
      <c r="AA105" s="12"/>
      <c r="AB105" s="15"/>
      <c r="AC105" s="16">
        <v>0</v>
      </c>
      <c r="AD105" s="16">
        <v>1</v>
      </c>
      <c r="AE105" s="16">
        <v>0</v>
      </c>
      <c r="AF105" s="16">
        <v>0</v>
      </c>
      <c r="AG105" s="16">
        <v>0</v>
      </c>
      <c r="AH105" s="14" t="s">
        <v>166</v>
      </c>
      <c r="AI105" s="54">
        <v>0</v>
      </c>
      <c r="AJ105" s="54">
        <v>1</v>
      </c>
      <c r="AK105" s="54">
        <v>1</v>
      </c>
      <c r="AL105" s="54">
        <v>1</v>
      </c>
      <c r="AM105" s="54">
        <v>1</v>
      </c>
      <c r="AN105" s="14" t="s">
        <v>166</v>
      </c>
    </row>
    <row r="106" spans="1:40" ht="141.75" x14ac:dyDescent="0.25">
      <c r="A106" s="12" t="s">
        <v>1306</v>
      </c>
      <c r="B106" s="12" t="s">
        <v>1307</v>
      </c>
      <c r="C106" s="12" t="s">
        <v>1131</v>
      </c>
      <c r="D106" s="13" t="s">
        <v>972</v>
      </c>
      <c r="E106" s="13" t="s">
        <v>963</v>
      </c>
      <c r="F106" s="13">
        <v>288</v>
      </c>
      <c r="G106" s="13" t="s">
        <v>41</v>
      </c>
      <c r="H106" s="13" t="s">
        <v>448</v>
      </c>
      <c r="I106" s="12"/>
      <c r="J106" s="13">
        <v>682867396</v>
      </c>
      <c r="K106" s="13"/>
      <c r="L106" s="13" t="s">
        <v>449</v>
      </c>
      <c r="M106" s="14" t="s">
        <v>1074</v>
      </c>
      <c r="N106" s="13" t="s">
        <v>1069</v>
      </c>
      <c r="O106" s="12">
        <v>6</v>
      </c>
      <c r="P106" s="12" t="s">
        <v>174</v>
      </c>
      <c r="Q106" s="12" t="s">
        <v>868</v>
      </c>
      <c r="R106" s="12" t="s">
        <v>174</v>
      </c>
      <c r="S106" s="14" t="s">
        <v>166</v>
      </c>
      <c r="T106" s="12" t="s">
        <v>1110</v>
      </c>
      <c r="U106" s="14" t="s">
        <v>781</v>
      </c>
      <c r="V106" s="14"/>
      <c r="W106" s="14"/>
      <c r="X106" s="12"/>
      <c r="Y106" s="12"/>
      <c r="Z106" s="14"/>
      <c r="AA106" s="12"/>
      <c r="AB106" s="15"/>
      <c r="AC106" s="16">
        <v>0</v>
      </c>
      <c r="AD106" s="16">
        <v>0</v>
      </c>
      <c r="AE106" s="16">
        <v>0</v>
      </c>
      <c r="AF106" s="16">
        <v>1</v>
      </c>
      <c r="AG106" s="16">
        <v>0</v>
      </c>
      <c r="AH106" s="14" t="s">
        <v>166</v>
      </c>
      <c r="AI106" s="54">
        <v>0</v>
      </c>
      <c r="AJ106" s="54">
        <v>0</v>
      </c>
      <c r="AK106" s="54">
        <v>0</v>
      </c>
      <c r="AL106" s="54">
        <v>1</v>
      </c>
      <c r="AM106" s="54">
        <v>1</v>
      </c>
      <c r="AN106" s="14" t="s">
        <v>166</v>
      </c>
    </row>
    <row r="107" spans="1:40" ht="141.75" x14ac:dyDescent="0.25">
      <c r="A107" s="12" t="s">
        <v>1306</v>
      </c>
      <c r="B107" s="12" t="s">
        <v>1307</v>
      </c>
      <c r="C107" s="12" t="s">
        <v>1131</v>
      </c>
      <c r="D107" s="13" t="s">
        <v>972</v>
      </c>
      <c r="E107" s="13" t="s">
        <v>963</v>
      </c>
      <c r="F107" s="13">
        <v>10</v>
      </c>
      <c r="G107" s="13" t="s">
        <v>41</v>
      </c>
      <c r="H107" s="13" t="s">
        <v>504</v>
      </c>
      <c r="I107" s="12"/>
      <c r="J107" s="13">
        <v>618734565</v>
      </c>
      <c r="K107" s="13"/>
      <c r="L107" s="13" t="s">
        <v>505</v>
      </c>
      <c r="M107" s="14" t="s">
        <v>1074</v>
      </c>
      <c r="N107" s="13" t="s">
        <v>1069</v>
      </c>
      <c r="O107" s="12">
        <v>6</v>
      </c>
      <c r="P107" s="12" t="s">
        <v>174</v>
      </c>
      <c r="Q107" s="12" t="s">
        <v>868</v>
      </c>
      <c r="R107" s="12" t="s">
        <v>174</v>
      </c>
      <c r="S107" s="14" t="s">
        <v>166</v>
      </c>
      <c r="T107" s="12" t="s">
        <v>1110</v>
      </c>
      <c r="U107" s="14" t="s">
        <v>781</v>
      </c>
      <c r="V107" s="14"/>
      <c r="W107" s="14"/>
      <c r="X107" s="12"/>
      <c r="Y107" s="12"/>
      <c r="Z107" s="14"/>
      <c r="AA107" s="12"/>
      <c r="AB107" s="15"/>
      <c r="AC107" s="16">
        <v>0</v>
      </c>
      <c r="AD107" s="16">
        <v>0</v>
      </c>
      <c r="AE107" s="16">
        <v>1</v>
      </c>
      <c r="AF107" s="16">
        <v>0</v>
      </c>
      <c r="AG107" s="16">
        <v>0</v>
      </c>
      <c r="AH107" s="14" t="s">
        <v>166</v>
      </c>
      <c r="AI107" s="54">
        <v>0</v>
      </c>
      <c r="AJ107" s="54">
        <v>0</v>
      </c>
      <c r="AK107" s="54">
        <v>1</v>
      </c>
      <c r="AL107" s="54">
        <v>0</v>
      </c>
      <c r="AM107" s="54">
        <v>0</v>
      </c>
      <c r="AN107" s="14" t="s">
        <v>166</v>
      </c>
    </row>
    <row r="108" spans="1:40" ht="141.75" x14ac:dyDescent="0.25">
      <c r="A108" s="12" t="s">
        <v>1308</v>
      </c>
      <c r="B108" s="12" t="s">
        <v>1309</v>
      </c>
      <c r="C108" s="12" t="s">
        <v>1131</v>
      </c>
      <c r="D108" s="13" t="s">
        <v>972</v>
      </c>
      <c r="E108" s="13" t="s">
        <v>963</v>
      </c>
      <c r="F108" s="13">
        <v>3325</v>
      </c>
      <c r="G108" s="13" t="s">
        <v>45</v>
      </c>
      <c r="H108" s="13" t="s">
        <v>450</v>
      </c>
      <c r="I108" s="12"/>
      <c r="J108" s="13">
        <v>667464922</v>
      </c>
      <c r="K108" s="13"/>
      <c r="L108" s="13" t="s">
        <v>451</v>
      </c>
      <c r="M108" s="14" t="s">
        <v>1073</v>
      </c>
      <c r="N108" s="13" t="s">
        <v>1068</v>
      </c>
      <c r="O108" s="12">
        <v>1</v>
      </c>
      <c r="P108" s="12" t="s">
        <v>174</v>
      </c>
      <c r="Q108" s="12" t="s">
        <v>868</v>
      </c>
      <c r="R108" s="12" t="s">
        <v>174</v>
      </c>
      <c r="S108" s="14" t="s">
        <v>166</v>
      </c>
      <c r="T108" s="12" t="s">
        <v>1110</v>
      </c>
      <c r="U108" s="14" t="s">
        <v>780</v>
      </c>
      <c r="V108" s="14"/>
      <c r="W108" s="14"/>
      <c r="X108" s="12"/>
      <c r="Y108" s="12"/>
      <c r="Z108" s="14"/>
      <c r="AA108" s="12"/>
      <c r="AB108" s="15"/>
      <c r="AC108" s="16">
        <v>0</v>
      </c>
      <c r="AD108" s="16">
        <v>0</v>
      </c>
      <c r="AE108" s="16">
        <v>1</v>
      </c>
      <c r="AF108" s="16">
        <v>0</v>
      </c>
      <c r="AG108" s="16">
        <v>0</v>
      </c>
      <c r="AH108" s="14" t="s">
        <v>166</v>
      </c>
      <c r="AI108" s="54">
        <v>0</v>
      </c>
      <c r="AJ108" s="54">
        <v>0</v>
      </c>
      <c r="AK108" s="54">
        <v>1</v>
      </c>
      <c r="AL108" s="54">
        <v>0</v>
      </c>
      <c r="AM108" s="54">
        <v>0</v>
      </c>
      <c r="AN108" s="14" t="s">
        <v>166</v>
      </c>
    </row>
    <row r="109" spans="1:40" ht="141.75" x14ac:dyDescent="0.25">
      <c r="A109" s="12" t="s">
        <v>1308</v>
      </c>
      <c r="B109" s="12" t="s">
        <v>1309</v>
      </c>
      <c r="C109" s="12" t="s">
        <v>1131</v>
      </c>
      <c r="D109" s="13" t="s">
        <v>972</v>
      </c>
      <c r="E109" s="13" t="s">
        <v>963</v>
      </c>
      <c r="F109" s="13">
        <v>105</v>
      </c>
      <c r="G109" s="13" t="s">
        <v>45</v>
      </c>
      <c r="H109" s="13" t="s">
        <v>446</v>
      </c>
      <c r="I109" s="12"/>
      <c r="J109" s="13">
        <v>696087644</v>
      </c>
      <c r="K109" s="13"/>
      <c r="L109" s="13" t="s">
        <v>447</v>
      </c>
      <c r="M109" s="14" t="s">
        <v>1074</v>
      </c>
      <c r="N109" s="13" t="s">
        <v>1069</v>
      </c>
      <c r="O109" s="12">
        <v>6</v>
      </c>
      <c r="P109" s="12" t="s">
        <v>174</v>
      </c>
      <c r="Q109" s="12" t="s">
        <v>868</v>
      </c>
      <c r="R109" s="12" t="s">
        <v>174</v>
      </c>
      <c r="S109" s="14" t="s">
        <v>166</v>
      </c>
      <c r="T109" s="12" t="s">
        <v>1110</v>
      </c>
      <c r="U109" s="14" t="s">
        <v>781</v>
      </c>
      <c r="V109" s="14"/>
      <c r="W109" s="14"/>
      <c r="X109" s="12"/>
      <c r="Y109" s="12"/>
      <c r="Z109" s="14"/>
      <c r="AA109" s="12"/>
      <c r="AB109" s="15"/>
      <c r="AC109" s="16">
        <v>0</v>
      </c>
      <c r="AD109" s="16">
        <v>0</v>
      </c>
      <c r="AE109" s="16">
        <v>1</v>
      </c>
      <c r="AF109" s="16">
        <v>0</v>
      </c>
      <c r="AG109" s="16">
        <v>0</v>
      </c>
      <c r="AH109" s="14" t="s">
        <v>166</v>
      </c>
      <c r="AI109" s="54">
        <v>0</v>
      </c>
      <c r="AJ109" s="54">
        <v>0</v>
      </c>
      <c r="AK109" s="54">
        <v>1</v>
      </c>
      <c r="AL109" s="54">
        <v>0</v>
      </c>
      <c r="AM109" s="54">
        <v>1</v>
      </c>
      <c r="AN109" s="14" t="s">
        <v>166</v>
      </c>
    </row>
    <row r="110" spans="1:40" ht="141.75" x14ac:dyDescent="0.25">
      <c r="A110" s="12" t="s">
        <v>1308</v>
      </c>
      <c r="B110" s="12" t="s">
        <v>1309</v>
      </c>
      <c r="C110" s="12" t="s">
        <v>1131</v>
      </c>
      <c r="D110" s="13" t="s">
        <v>972</v>
      </c>
      <c r="E110" s="13" t="s">
        <v>963</v>
      </c>
      <c r="F110" s="13">
        <v>4845</v>
      </c>
      <c r="G110" s="13" t="s">
        <v>45</v>
      </c>
      <c r="H110" s="13" t="s">
        <v>452</v>
      </c>
      <c r="I110" s="12"/>
      <c r="J110" s="13">
        <v>690710263</v>
      </c>
      <c r="K110" s="13"/>
      <c r="L110" s="13" t="s">
        <v>453</v>
      </c>
      <c r="M110" s="14" t="s">
        <v>1074</v>
      </c>
      <c r="N110" s="13" t="s">
        <v>1069</v>
      </c>
      <c r="O110" s="12">
        <v>6</v>
      </c>
      <c r="P110" s="12" t="s">
        <v>174</v>
      </c>
      <c r="Q110" s="12" t="s">
        <v>868</v>
      </c>
      <c r="R110" s="12" t="s">
        <v>174</v>
      </c>
      <c r="S110" s="14" t="s">
        <v>166</v>
      </c>
      <c r="T110" s="12" t="s">
        <v>1110</v>
      </c>
      <c r="U110" s="14" t="s">
        <v>781</v>
      </c>
      <c r="V110" s="14"/>
      <c r="W110" s="14"/>
      <c r="X110" s="12"/>
      <c r="Y110" s="12"/>
      <c r="Z110" s="14"/>
      <c r="AA110" s="12"/>
      <c r="AB110" s="15"/>
      <c r="AC110" s="16">
        <v>0</v>
      </c>
      <c r="AD110" s="16">
        <v>0</v>
      </c>
      <c r="AE110" s="16">
        <v>0</v>
      </c>
      <c r="AF110" s="16">
        <v>0</v>
      </c>
      <c r="AG110" s="16">
        <v>1</v>
      </c>
      <c r="AH110" s="14" t="s">
        <v>166</v>
      </c>
      <c r="AI110" s="54">
        <v>0</v>
      </c>
      <c r="AJ110" s="54">
        <v>0</v>
      </c>
      <c r="AK110" s="54">
        <v>0</v>
      </c>
      <c r="AL110" s="54">
        <v>1</v>
      </c>
      <c r="AM110" s="54">
        <v>1</v>
      </c>
      <c r="AN110" s="14" t="s">
        <v>166</v>
      </c>
    </row>
    <row r="111" spans="1:40" ht="47.25" x14ac:dyDescent="0.25">
      <c r="A111" s="12" t="s">
        <v>1310</v>
      </c>
      <c r="B111" s="12" t="s">
        <v>1311</v>
      </c>
      <c r="C111" s="12" t="s">
        <v>1131</v>
      </c>
      <c r="D111" s="13" t="s">
        <v>89</v>
      </c>
      <c r="E111" s="13" t="s">
        <v>783</v>
      </c>
      <c r="F111" s="13">
        <v>1975</v>
      </c>
      <c r="G111" s="13" t="s">
        <v>35</v>
      </c>
      <c r="H111" s="13" t="s">
        <v>412</v>
      </c>
      <c r="I111" s="12"/>
      <c r="J111" s="13">
        <v>659575998</v>
      </c>
      <c r="K111" s="13"/>
      <c r="L111" s="13" t="s">
        <v>413</v>
      </c>
      <c r="M111" s="14" t="s">
        <v>1073</v>
      </c>
      <c r="N111" s="13" t="s">
        <v>1068</v>
      </c>
      <c r="O111" s="12">
        <v>1</v>
      </c>
      <c r="P111" s="12" t="s">
        <v>174</v>
      </c>
      <c r="Q111" s="12" t="s">
        <v>868</v>
      </c>
      <c r="R111" s="12" t="s">
        <v>174</v>
      </c>
      <c r="S111" s="14" t="s">
        <v>166</v>
      </c>
      <c r="T111" s="12" t="s">
        <v>1110</v>
      </c>
      <c r="U111" s="14" t="s">
        <v>780</v>
      </c>
      <c r="V111" s="14"/>
      <c r="W111" s="14"/>
      <c r="X111" s="12"/>
      <c r="Y111" s="12"/>
      <c r="Z111" s="14"/>
      <c r="AA111" s="12"/>
      <c r="AB111" s="15"/>
      <c r="AC111" s="16">
        <v>0</v>
      </c>
      <c r="AD111" s="16">
        <v>0</v>
      </c>
      <c r="AE111" s="16">
        <v>1</v>
      </c>
      <c r="AF111" s="16">
        <v>0</v>
      </c>
      <c r="AG111" s="16">
        <v>0</v>
      </c>
      <c r="AH111" s="14" t="s">
        <v>166</v>
      </c>
      <c r="AI111" s="54">
        <v>0</v>
      </c>
      <c r="AJ111" s="54">
        <v>0</v>
      </c>
      <c r="AK111" s="54">
        <v>1</v>
      </c>
      <c r="AL111" s="54">
        <v>0</v>
      </c>
      <c r="AM111" s="54">
        <v>0</v>
      </c>
      <c r="AN111" s="14" t="s">
        <v>166</v>
      </c>
    </row>
    <row r="112" spans="1:40" ht="31.5" x14ac:dyDescent="0.25">
      <c r="A112" s="12" t="s">
        <v>1312</v>
      </c>
      <c r="B112" s="12" t="s">
        <v>1313</v>
      </c>
      <c r="C112" s="12" t="s">
        <v>1131</v>
      </c>
      <c r="D112" s="13" t="s">
        <v>90</v>
      </c>
      <c r="E112" s="13" t="s">
        <v>784</v>
      </c>
      <c r="F112" s="13" t="s">
        <v>47</v>
      </c>
      <c r="G112" s="13" t="s">
        <v>48</v>
      </c>
      <c r="H112" s="13" t="s">
        <v>94</v>
      </c>
      <c r="I112" s="12"/>
      <c r="J112" s="13">
        <v>917917050</v>
      </c>
      <c r="K112" s="13"/>
      <c r="L112" s="13" t="s">
        <v>95</v>
      </c>
      <c r="M112" s="14"/>
      <c r="N112" s="13"/>
      <c r="O112" s="12"/>
      <c r="P112" s="12" t="s">
        <v>1184</v>
      </c>
      <c r="Q112" s="12" t="s">
        <v>1184</v>
      </c>
      <c r="R112" s="12" t="s">
        <v>1184</v>
      </c>
      <c r="S112" s="14"/>
      <c r="T112" s="12"/>
      <c r="U112" s="14"/>
      <c r="V112" s="14"/>
      <c r="W112" s="14"/>
      <c r="X112" s="12"/>
      <c r="Y112" s="12"/>
      <c r="Z112" s="14"/>
      <c r="AA112" s="12"/>
      <c r="AB112" s="15"/>
      <c r="AC112" s="16" t="s">
        <v>111</v>
      </c>
      <c r="AD112" s="16" t="s">
        <v>111</v>
      </c>
      <c r="AE112" s="16" t="s">
        <v>111</v>
      </c>
      <c r="AF112" s="16" t="s">
        <v>111</v>
      </c>
      <c r="AG112" s="16" t="s">
        <v>111</v>
      </c>
      <c r="AH112" s="14" t="s">
        <v>1149</v>
      </c>
      <c r="AI112" s="54">
        <v>0</v>
      </c>
      <c r="AJ112" s="54">
        <v>0</v>
      </c>
      <c r="AK112" s="54">
        <v>0</v>
      </c>
      <c r="AL112" s="54">
        <v>0</v>
      </c>
      <c r="AM112" s="54">
        <v>0</v>
      </c>
      <c r="AN112" s="14" t="s">
        <v>1149</v>
      </c>
    </row>
    <row r="113" spans="1:40" ht="31.5" x14ac:dyDescent="0.25">
      <c r="A113" s="12" t="s">
        <v>1314</v>
      </c>
      <c r="B113" s="12" t="s">
        <v>1315</v>
      </c>
      <c r="C113" s="12" t="s">
        <v>1131</v>
      </c>
      <c r="D113" s="13" t="s">
        <v>91</v>
      </c>
      <c r="E113" s="13" t="s">
        <v>92</v>
      </c>
      <c r="F113" s="13" t="s">
        <v>47</v>
      </c>
      <c r="G113" s="13" t="s">
        <v>48</v>
      </c>
      <c r="H113" s="13" t="s">
        <v>93</v>
      </c>
      <c r="I113" s="12"/>
      <c r="J113" s="13"/>
      <c r="K113" s="13"/>
      <c r="L113" s="13"/>
      <c r="M113" s="14"/>
      <c r="N113" s="13"/>
      <c r="O113" s="12"/>
      <c r="P113" s="12" t="s">
        <v>1184</v>
      </c>
      <c r="Q113" s="12" t="s">
        <v>1184</v>
      </c>
      <c r="R113" s="12" t="s">
        <v>1184</v>
      </c>
      <c r="S113" s="14"/>
      <c r="T113" s="12"/>
      <c r="U113" s="14"/>
      <c r="V113" s="14"/>
      <c r="W113" s="14"/>
      <c r="X113" s="12"/>
      <c r="Y113" s="12"/>
      <c r="Z113" s="14"/>
      <c r="AA113" s="12"/>
      <c r="AB113" s="15"/>
      <c r="AC113" s="16" t="s">
        <v>111</v>
      </c>
      <c r="AD113" s="16" t="s">
        <v>111</v>
      </c>
      <c r="AE113" s="16" t="s">
        <v>111</v>
      </c>
      <c r="AF113" s="16" t="s">
        <v>111</v>
      </c>
      <c r="AG113" s="16" t="s">
        <v>111</v>
      </c>
      <c r="AH113" s="14" t="s">
        <v>1149</v>
      </c>
      <c r="AI113" s="54">
        <v>0</v>
      </c>
      <c r="AJ113" s="54">
        <v>0</v>
      </c>
      <c r="AK113" s="54">
        <v>0</v>
      </c>
      <c r="AL113" s="54">
        <v>0</v>
      </c>
      <c r="AM113" s="54">
        <v>0</v>
      </c>
      <c r="AN113" s="14" t="s">
        <v>1149</v>
      </c>
    </row>
    <row r="114" spans="1:40" ht="47.25" x14ac:dyDescent="0.25">
      <c r="A114" s="12" t="s">
        <v>1316</v>
      </c>
      <c r="B114" s="12" t="s">
        <v>1317</v>
      </c>
      <c r="C114" s="12" t="s">
        <v>1120</v>
      </c>
      <c r="D114" s="13" t="s">
        <v>26</v>
      </c>
      <c r="E114" s="13" t="s">
        <v>26</v>
      </c>
      <c r="F114" s="13">
        <v>2157</v>
      </c>
      <c r="G114" s="13" t="s">
        <v>27</v>
      </c>
      <c r="H114" s="13" t="s">
        <v>318</v>
      </c>
      <c r="I114" s="12"/>
      <c r="J114" s="13" t="s">
        <v>1318</v>
      </c>
      <c r="K114" s="13"/>
      <c r="L114" s="13" t="s">
        <v>319</v>
      </c>
      <c r="M114" s="14" t="s">
        <v>1073</v>
      </c>
      <c r="N114" s="13" t="s">
        <v>1068</v>
      </c>
      <c r="O114" s="12">
        <v>3</v>
      </c>
      <c r="P114" s="12" t="s">
        <v>174</v>
      </c>
      <c r="Q114" s="12" t="s">
        <v>868</v>
      </c>
      <c r="R114" s="12" t="s">
        <v>867</v>
      </c>
      <c r="S114" s="14" t="s">
        <v>166</v>
      </c>
      <c r="T114" s="12" t="s">
        <v>1110</v>
      </c>
      <c r="U114" s="14" t="s">
        <v>780</v>
      </c>
      <c r="V114" s="14"/>
      <c r="W114" s="14"/>
      <c r="X114" s="12"/>
      <c r="Y114" s="12"/>
      <c r="Z114" s="14"/>
      <c r="AA114" s="12"/>
      <c r="AB114" s="15"/>
      <c r="AC114" s="16" t="s">
        <v>111</v>
      </c>
      <c r="AD114" s="16" t="s">
        <v>111</v>
      </c>
      <c r="AE114" s="16" t="s">
        <v>111</v>
      </c>
      <c r="AF114" s="16" t="s">
        <v>111</v>
      </c>
      <c r="AG114" s="16" t="s">
        <v>111</v>
      </c>
      <c r="AH114" s="14" t="s">
        <v>1149</v>
      </c>
      <c r="AI114" s="54">
        <v>0</v>
      </c>
      <c r="AJ114" s="54">
        <v>0</v>
      </c>
      <c r="AK114" s="54">
        <v>0</v>
      </c>
      <c r="AL114" s="54">
        <v>0</v>
      </c>
      <c r="AM114" s="54">
        <v>1</v>
      </c>
      <c r="AN114" s="14" t="s">
        <v>166</v>
      </c>
    </row>
    <row r="115" spans="1:40" ht="47.25" x14ac:dyDescent="0.25">
      <c r="A115" s="12" t="s">
        <v>1319</v>
      </c>
      <c r="B115" s="12" t="s">
        <v>1320</v>
      </c>
      <c r="C115" s="12" t="s">
        <v>1120</v>
      </c>
      <c r="D115" s="13" t="s">
        <v>28</v>
      </c>
      <c r="E115" s="13" t="s">
        <v>28</v>
      </c>
      <c r="F115" s="13">
        <v>2157</v>
      </c>
      <c r="G115" s="13" t="s">
        <v>29</v>
      </c>
      <c r="H115" s="13" t="s">
        <v>318</v>
      </c>
      <c r="I115" s="12"/>
      <c r="J115" s="13">
        <v>629853863</v>
      </c>
      <c r="K115" s="13"/>
      <c r="L115" s="13" t="s">
        <v>319</v>
      </c>
      <c r="M115" s="14" t="s">
        <v>1073</v>
      </c>
      <c r="N115" s="13" t="s">
        <v>1068</v>
      </c>
      <c r="O115" s="12">
        <v>3</v>
      </c>
      <c r="P115" s="12" t="s">
        <v>174</v>
      </c>
      <c r="Q115" s="12" t="s">
        <v>868</v>
      </c>
      <c r="R115" s="12" t="s">
        <v>867</v>
      </c>
      <c r="S115" s="14" t="s">
        <v>166</v>
      </c>
      <c r="T115" s="12" t="s">
        <v>1110</v>
      </c>
      <c r="U115" s="14" t="s">
        <v>780</v>
      </c>
      <c r="V115" s="14"/>
      <c r="W115" s="14"/>
      <c r="X115" s="12"/>
      <c r="Y115" s="12"/>
      <c r="Z115" s="14"/>
      <c r="AA115" s="12"/>
      <c r="AB115" s="15"/>
      <c r="AC115" s="16" t="s">
        <v>111</v>
      </c>
      <c r="AD115" s="16">
        <v>0</v>
      </c>
      <c r="AE115" s="16">
        <v>0</v>
      </c>
      <c r="AF115" s="16">
        <v>0</v>
      </c>
      <c r="AG115" s="16">
        <v>0</v>
      </c>
      <c r="AH115" s="14" t="s">
        <v>1149</v>
      </c>
      <c r="AI115" s="54">
        <v>0</v>
      </c>
      <c r="AJ115" s="54">
        <v>0</v>
      </c>
      <c r="AK115" s="54">
        <v>1</v>
      </c>
      <c r="AL115" s="54">
        <v>1</v>
      </c>
      <c r="AM115" s="54">
        <v>1</v>
      </c>
      <c r="AN115" s="14" t="s">
        <v>166</v>
      </c>
    </row>
    <row r="116" spans="1:40" ht="47.25" x14ac:dyDescent="0.25">
      <c r="A116" s="12" t="s">
        <v>1321</v>
      </c>
      <c r="B116" s="12" t="s">
        <v>1322</v>
      </c>
      <c r="C116" s="12" t="s">
        <v>1120</v>
      </c>
      <c r="D116" s="13" t="s">
        <v>30</v>
      </c>
      <c r="E116" s="13" t="s">
        <v>30</v>
      </c>
      <c r="F116" s="13">
        <v>3573</v>
      </c>
      <c r="G116" s="13" t="s">
        <v>31</v>
      </c>
      <c r="H116" s="13" t="s">
        <v>675</v>
      </c>
      <c r="I116" s="12"/>
      <c r="J116" s="13">
        <v>689256895</v>
      </c>
      <c r="K116" s="13"/>
      <c r="L116" s="13" t="s">
        <v>676</v>
      </c>
      <c r="M116" s="14" t="s">
        <v>1073</v>
      </c>
      <c r="N116" s="13" t="s">
        <v>1068</v>
      </c>
      <c r="O116" s="12">
        <v>3</v>
      </c>
      <c r="P116" s="12" t="s">
        <v>174</v>
      </c>
      <c r="Q116" s="12" t="s">
        <v>868</v>
      </c>
      <c r="R116" s="12" t="s">
        <v>174</v>
      </c>
      <c r="S116" s="14" t="s">
        <v>166</v>
      </c>
      <c r="T116" s="12" t="s">
        <v>1110</v>
      </c>
      <c r="U116" s="14" t="s">
        <v>780</v>
      </c>
      <c r="V116" s="14"/>
      <c r="W116" s="14"/>
      <c r="X116" s="12"/>
      <c r="Y116" s="12"/>
      <c r="Z116" s="14"/>
      <c r="AA116" s="12"/>
      <c r="AB116" s="15"/>
      <c r="AC116" s="16" t="s">
        <v>111</v>
      </c>
      <c r="AD116" s="16">
        <v>0</v>
      </c>
      <c r="AE116" s="16">
        <v>1</v>
      </c>
      <c r="AF116" s="16">
        <v>0</v>
      </c>
      <c r="AG116" s="16">
        <v>0</v>
      </c>
      <c r="AH116" s="14" t="s">
        <v>1149</v>
      </c>
      <c r="AI116" s="54">
        <v>0</v>
      </c>
      <c r="AJ116" s="54">
        <v>0</v>
      </c>
      <c r="AK116" s="54">
        <v>1</v>
      </c>
      <c r="AL116" s="54">
        <v>1</v>
      </c>
      <c r="AM116" s="54">
        <v>1</v>
      </c>
      <c r="AN116" s="14" t="s">
        <v>166</v>
      </c>
    </row>
    <row r="117" spans="1:40" ht="47.25" x14ac:dyDescent="0.25">
      <c r="A117" s="12" t="s">
        <v>1321</v>
      </c>
      <c r="B117" s="12" t="s">
        <v>1322</v>
      </c>
      <c r="C117" s="12" t="s">
        <v>1120</v>
      </c>
      <c r="D117" s="13" t="s">
        <v>30</v>
      </c>
      <c r="E117" s="13" t="s">
        <v>30</v>
      </c>
      <c r="F117" s="13">
        <v>2329</v>
      </c>
      <c r="G117" s="13" t="s">
        <v>31</v>
      </c>
      <c r="H117" s="13" t="s">
        <v>746</v>
      </c>
      <c r="I117" s="12"/>
      <c r="J117" s="13">
        <v>620535840</v>
      </c>
      <c r="K117" s="13"/>
      <c r="L117" s="13" t="s">
        <v>747</v>
      </c>
      <c r="M117" s="14" t="s">
        <v>153</v>
      </c>
      <c r="N117" s="13" t="s">
        <v>152</v>
      </c>
      <c r="O117" s="12">
        <v>3</v>
      </c>
      <c r="P117" s="12" t="s">
        <v>174</v>
      </c>
      <c r="Q117" s="12" t="s">
        <v>868</v>
      </c>
      <c r="R117" s="12" t="s">
        <v>174</v>
      </c>
      <c r="S117" s="14" t="s">
        <v>166</v>
      </c>
      <c r="T117" s="12" t="s">
        <v>1110</v>
      </c>
      <c r="U117" s="14" t="s">
        <v>782</v>
      </c>
      <c r="V117" s="14"/>
      <c r="W117" s="14"/>
      <c r="X117" s="12"/>
      <c r="Y117" s="12"/>
      <c r="Z117" s="14"/>
      <c r="AA117" s="12"/>
      <c r="AB117" s="15"/>
      <c r="AC117" s="16" t="s">
        <v>111</v>
      </c>
      <c r="AD117" s="16">
        <v>0</v>
      </c>
      <c r="AE117" s="16">
        <v>0</v>
      </c>
      <c r="AF117" s="16">
        <v>1</v>
      </c>
      <c r="AG117" s="16">
        <v>0</v>
      </c>
      <c r="AH117" s="14" t="s">
        <v>1149</v>
      </c>
      <c r="AI117" s="54">
        <v>0</v>
      </c>
      <c r="AJ117" s="54">
        <v>0</v>
      </c>
      <c r="AK117" s="54">
        <v>1</v>
      </c>
      <c r="AL117" s="54">
        <v>1</v>
      </c>
      <c r="AM117" s="54">
        <v>1</v>
      </c>
      <c r="AN117" s="14" t="s">
        <v>166</v>
      </c>
    </row>
    <row r="118" spans="1:40" ht="47.25" x14ac:dyDescent="0.25">
      <c r="A118" s="12" t="s">
        <v>1321</v>
      </c>
      <c r="B118" s="12" t="s">
        <v>1322</v>
      </c>
      <c r="C118" s="12" t="s">
        <v>1120</v>
      </c>
      <c r="D118" s="13" t="s">
        <v>30</v>
      </c>
      <c r="E118" s="13" t="s">
        <v>30</v>
      </c>
      <c r="F118" s="13">
        <v>2499</v>
      </c>
      <c r="G118" s="13" t="s">
        <v>31</v>
      </c>
      <c r="H118" s="13" t="s">
        <v>637</v>
      </c>
      <c r="I118" s="12"/>
      <c r="J118" s="13">
        <v>616393241</v>
      </c>
      <c r="K118" s="13"/>
      <c r="L118" s="13" t="s">
        <v>638</v>
      </c>
      <c r="M118" s="14" t="s">
        <v>1073</v>
      </c>
      <c r="N118" s="13" t="s">
        <v>1068</v>
      </c>
      <c r="O118" s="12">
        <v>3</v>
      </c>
      <c r="P118" s="12" t="s">
        <v>174</v>
      </c>
      <c r="Q118" s="12" t="s">
        <v>868</v>
      </c>
      <c r="R118" s="12" t="s">
        <v>174</v>
      </c>
      <c r="S118" s="14" t="s">
        <v>166</v>
      </c>
      <c r="T118" s="12" t="s">
        <v>1110</v>
      </c>
      <c r="U118" s="14" t="s">
        <v>780</v>
      </c>
      <c r="V118" s="14"/>
      <c r="W118" s="14"/>
      <c r="X118" s="12"/>
      <c r="Y118" s="12"/>
      <c r="Z118" s="14"/>
      <c r="AA118" s="12"/>
      <c r="AB118" s="15"/>
      <c r="AC118" s="16" t="s">
        <v>111</v>
      </c>
      <c r="AD118" s="16">
        <v>2</v>
      </c>
      <c r="AE118" s="16">
        <v>0</v>
      </c>
      <c r="AF118" s="16">
        <v>0</v>
      </c>
      <c r="AG118" s="16">
        <v>0</v>
      </c>
      <c r="AH118" s="14" t="s">
        <v>1149</v>
      </c>
      <c r="AI118" s="54">
        <v>0</v>
      </c>
      <c r="AJ118" s="54">
        <v>1</v>
      </c>
      <c r="AK118" s="54">
        <v>0</v>
      </c>
      <c r="AL118" s="54">
        <v>0</v>
      </c>
      <c r="AM118" s="54">
        <v>1</v>
      </c>
      <c r="AN118" s="14" t="s">
        <v>166</v>
      </c>
    </row>
    <row r="119" spans="1:40" ht="47.25" x14ac:dyDescent="0.25">
      <c r="A119" s="12" t="s">
        <v>1321</v>
      </c>
      <c r="B119" s="12" t="s">
        <v>1322</v>
      </c>
      <c r="C119" s="12" t="s">
        <v>1120</v>
      </c>
      <c r="D119" s="13" t="s">
        <v>30</v>
      </c>
      <c r="E119" s="13" t="s">
        <v>30</v>
      </c>
      <c r="F119" s="13">
        <v>4192</v>
      </c>
      <c r="G119" s="13" t="s">
        <v>31</v>
      </c>
      <c r="H119" s="13" t="s">
        <v>724</v>
      </c>
      <c r="I119" s="12"/>
      <c r="J119" s="13">
        <v>608326297</v>
      </c>
      <c r="K119" s="13"/>
      <c r="L119" s="13" t="s">
        <v>725</v>
      </c>
      <c r="M119" s="14" t="s">
        <v>1118</v>
      </c>
      <c r="N119" s="13" t="s">
        <v>1109</v>
      </c>
      <c r="O119" s="12">
        <v>3</v>
      </c>
      <c r="P119" s="12" t="s">
        <v>174</v>
      </c>
      <c r="Q119" s="12" t="s">
        <v>868</v>
      </c>
      <c r="R119" s="12" t="s">
        <v>174</v>
      </c>
      <c r="S119" s="14" t="s">
        <v>166</v>
      </c>
      <c r="T119" s="12" t="s">
        <v>1110</v>
      </c>
      <c r="U119" s="14" t="s">
        <v>1323</v>
      </c>
      <c r="V119" s="14"/>
      <c r="W119" s="14"/>
      <c r="X119" s="12"/>
      <c r="Y119" s="12"/>
      <c r="Z119" s="14"/>
      <c r="AA119" s="12"/>
      <c r="AB119" s="15"/>
      <c r="AC119" s="16" t="s">
        <v>111</v>
      </c>
      <c r="AD119" s="16">
        <v>0</v>
      </c>
      <c r="AE119" s="16">
        <v>0</v>
      </c>
      <c r="AF119" s="16">
        <v>0</v>
      </c>
      <c r="AG119" s="16">
        <v>0</v>
      </c>
      <c r="AH119" s="14" t="s">
        <v>1149</v>
      </c>
      <c r="AI119" s="54">
        <v>0</v>
      </c>
      <c r="AJ119" s="54">
        <v>0</v>
      </c>
      <c r="AK119" s="54">
        <v>0</v>
      </c>
      <c r="AL119" s="54">
        <v>1</v>
      </c>
      <c r="AM119" s="54">
        <v>0</v>
      </c>
      <c r="AN119" s="14" t="s">
        <v>166</v>
      </c>
    </row>
    <row r="120" spans="1:40" ht="78.75" x14ac:dyDescent="0.25">
      <c r="A120" s="12" t="s">
        <v>1324</v>
      </c>
      <c r="B120" s="12" t="s">
        <v>1325</v>
      </c>
      <c r="C120" s="12" t="s">
        <v>1120</v>
      </c>
      <c r="D120" s="13" t="s">
        <v>97</v>
      </c>
      <c r="E120" s="13" t="s">
        <v>96</v>
      </c>
      <c r="F120" s="13">
        <v>3573</v>
      </c>
      <c r="G120" s="13" t="s">
        <v>55</v>
      </c>
      <c r="H120" s="13" t="s">
        <v>675</v>
      </c>
      <c r="I120" s="12"/>
      <c r="J120" s="13">
        <v>689256895</v>
      </c>
      <c r="K120" s="13"/>
      <c r="L120" s="13" t="s">
        <v>676</v>
      </c>
      <c r="M120" s="14" t="s">
        <v>1073</v>
      </c>
      <c r="N120" s="13" t="s">
        <v>1068</v>
      </c>
      <c r="O120" s="12">
        <v>3</v>
      </c>
      <c r="P120" s="12" t="s">
        <v>174</v>
      </c>
      <c r="Q120" s="12" t="s">
        <v>868</v>
      </c>
      <c r="R120" s="12" t="s">
        <v>174</v>
      </c>
      <c r="S120" s="14" t="s">
        <v>166</v>
      </c>
      <c r="T120" s="12" t="s">
        <v>1110</v>
      </c>
      <c r="U120" s="14" t="s">
        <v>780</v>
      </c>
      <c r="V120" s="14"/>
      <c r="W120" s="14"/>
      <c r="X120" s="12"/>
      <c r="Y120" s="12"/>
      <c r="Z120" s="14"/>
      <c r="AA120" s="12"/>
      <c r="AB120" s="15"/>
      <c r="AC120" s="16">
        <v>0</v>
      </c>
      <c r="AD120" s="16">
        <v>0</v>
      </c>
      <c r="AE120" s="16">
        <v>1</v>
      </c>
      <c r="AF120" s="16">
        <v>0</v>
      </c>
      <c r="AG120" s="16">
        <v>0</v>
      </c>
      <c r="AH120" s="14" t="s">
        <v>166</v>
      </c>
      <c r="AI120" s="54">
        <v>0</v>
      </c>
      <c r="AJ120" s="54">
        <v>0</v>
      </c>
      <c r="AK120" s="54">
        <v>1</v>
      </c>
      <c r="AL120" s="54">
        <v>1</v>
      </c>
      <c r="AM120" s="54">
        <v>1</v>
      </c>
      <c r="AN120" s="14" t="s">
        <v>166</v>
      </c>
    </row>
    <row r="121" spans="1:40" ht="78.75" x14ac:dyDescent="0.25">
      <c r="A121" s="12" t="s">
        <v>1324</v>
      </c>
      <c r="B121" s="12" t="s">
        <v>1325</v>
      </c>
      <c r="C121" s="12" t="s">
        <v>1120</v>
      </c>
      <c r="D121" s="13" t="s">
        <v>97</v>
      </c>
      <c r="E121" s="13" t="s">
        <v>96</v>
      </c>
      <c r="F121" s="13">
        <v>5318</v>
      </c>
      <c r="G121" s="13" t="s">
        <v>55</v>
      </c>
      <c r="H121" s="13" t="s">
        <v>840</v>
      </c>
      <c r="I121" s="12"/>
      <c r="J121" s="13">
        <v>681122824</v>
      </c>
      <c r="K121" s="13"/>
      <c r="L121" s="13" t="s">
        <v>841</v>
      </c>
      <c r="M121" s="14" t="s">
        <v>1073</v>
      </c>
      <c r="N121" s="13" t="s">
        <v>1068</v>
      </c>
      <c r="O121" s="12">
        <v>3</v>
      </c>
      <c r="P121" s="12" t="s">
        <v>174</v>
      </c>
      <c r="Q121" s="12" t="s">
        <v>868</v>
      </c>
      <c r="R121" s="12" t="s">
        <v>174</v>
      </c>
      <c r="S121" s="14" t="s">
        <v>166</v>
      </c>
      <c r="T121" s="12" t="s">
        <v>1110</v>
      </c>
      <c r="U121" s="14" t="s">
        <v>780</v>
      </c>
      <c r="V121" s="14"/>
      <c r="W121" s="14"/>
      <c r="X121" s="12"/>
      <c r="Y121" s="12"/>
      <c r="Z121" s="14"/>
      <c r="AA121" s="12"/>
      <c r="AB121" s="15"/>
      <c r="AC121" s="16">
        <v>0</v>
      </c>
      <c r="AD121" s="16">
        <v>0</v>
      </c>
      <c r="AE121" s="16">
        <v>0</v>
      </c>
      <c r="AF121" s="16">
        <v>0</v>
      </c>
      <c r="AG121" s="16">
        <v>1</v>
      </c>
      <c r="AH121" s="14" t="s">
        <v>166</v>
      </c>
      <c r="AI121" s="54">
        <v>0</v>
      </c>
      <c r="AJ121" s="54">
        <v>0</v>
      </c>
      <c r="AK121" s="54">
        <v>1</v>
      </c>
      <c r="AL121" s="54">
        <v>1</v>
      </c>
      <c r="AM121" s="54">
        <v>1</v>
      </c>
      <c r="AN121" s="14" t="s">
        <v>166</v>
      </c>
    </row>
    <row r="122" spans="1:40" ht="78.75" x14ac:dyDescent="0.25">
      <c r="A122" s="12" t="s">
        <v>1324</v>
      </c>
      <c r="B122" s="12" t="s">
        <v>1325</v>
      </c>
      <c r="C122" s="12" t="s">
        <v>1120</v>
      </c>
      <c r="D122" s="13" t="s">
        <v>97</v>
      </c>
      <c r="E122" s="13" t="s">
        <v>96</v>
      </c>
      <c r="F122" s="13">
        <v>2499</v>
      </c>
      <c r="G122" s="13" t="s">
        <v>55</v>
      </c>
      <c r="H122" s="13" t="s">
        <v>637</v>
      </c>
      <c r="I122" s="12"/>
      <c r="J122" s="13">
        <v>616393241</v>
      </c>
      <c r="K122" s="13"/>
      <c r="L122" s="13" t="s">
        <v>638</v>
      </c>
      <c r="M122" s="14" t="s">
        <v>1073</v>
      </c>
      <c r="N122" s="13" t="s">
        <v>1068</v>
      </c>
      <c r="O122" s="12">
        <v>3</v>
      </c>
      <c r="P122" s="12" t="s">
        <v>174</v>
      </c>
      <c r="Q122" s="12" t="s">
        <v>868</v>
      </c>
      <c r="R122" s="12" t="s">
        <v>174</v>
      </c>
      <c r="S122" s="14" t="s">
        <v>166</v>
      </c>
      <c r="T122" s="12" t="s">
        <v>1110</v>
      </c>
      <c r="U122" s="14" t="s">
        <v>780</v>
      </c>
      <c r="V122" s="14"/>
      <c r="W122" s="14"/>
      <c r="X122" s="12"/>
      <c r="Y122" s="12"/>
      <c r="Z122" s="14"/>
      <c r="AA122" s="12"/>
      <c r="AB122" s="15"/>
      <c r="AC122" s="16">
        <v>0</v>
      </c>
      <c r="AD122" s="16">
        <v>2</v>
      </c>
      <c r="AE122" s="16">
        <v>0</v>
      </c>
      <c r="AF122" s="16">
        <v>0</v>
      </c>
      <c r="AG122" s="16">
        <v>0</v>
      </c>
      <c r="AH122" s="14" t="s">
        <v>166</v>
      </c>
      <c r="AI122" s="54">
        <v>0</v>
      </c>
      <c r="AJ122" s="54">
        <v>1</v>
      </c>
      <c r="AK122" s="54">
        <v>0</v>
      </c>
      <c r="AL122" s="54">
        <v>0</v>
      </c>
      <c r="AM122" s="54">
        <v>1</v>
      </c>
      <c r="AN122" s="14" t="s">
        <v>166</v>
      </c>
    </row>
    <row r="123" spans="1:40" ht="78.75" x14ac:dyDescent="0.25">
      <c r="A123" s="12" t="s">
        <v>1324</v>
      </c>
      <c r="B123" s="12" t="s">
        <v>1325</v>
      </c>
      <c r="C123" s="12" t="s">
        <v>1120</v>
      </c>
      <c r="D123" s="13" t="s">
        <v>97</v>
      </c>
      <c r="E123" s="13" t="s">
        <v>96</v>
      </c>
      <c r="F123" s="13">
        <v>2266</v>
      </c>
      <c r="G123" s="13" t="s">
        <v>55</v>
      </c>
      <c r="H123" s="13" t="s">
        <v>643</v>
      </c>
      <c r="I123" s="12"/>
      <c r="J123" s="13">
        <v>686464718</v>
      </c>
      <c r="K123" s="13"/>
      <c r="L123" s="13" t="s">
        <v>644</v>
      </c>
      <c r="M123" s="14" t="s">
        <v>1117</v>
      </c>
      <c r="N123" s="13" t="s">
        <v>1108</v>
      </c>
      <c r="O123" s="12">
        <v>3</v>
      </c>
      <c r="P123" s="12" t="s">
        <v>174</v>
      </c>
      <c r="Q123" s="12" t="s">
        <v>868</v>
      </c>
      <c r="R123" s="12" t="s">
        <v>174</v>
      </c>
      <c r="S123" s="14" t="s">
        <v>166</v>
      </c>
      <c r="T123" s="12" t="s">
        <v>1110</v>
      </c>
      <c r="U123" s="14" t="s">
        <v>1326</v>
      </c>
      <c r="V123" s="14"/>
      <c r="W123" s="14"/>
      <c r="X123" s="12"/>
      <c r="Y123" s="12"/>
      <c r="Z123" s="14"/>
      <c r="AA123" s="12"/>
      <c r="AB123" s="15"/>
      <c r="AC123" s="16">
        <v>0</v>
      </c>
      <c r="AD123" s="16">
        <v>0</v>
      </c>
      <c r="AE123" s="16">
        <v>0</v>
      </c>
      <c r="AF123" s="16">
        <v>1</v>
      </c>
      <c r="AG123" s="16">
        <v>0</v>
      </c>
      <c r="AH123" s="14" t="s">
        <v>166</v>
      </c>
      <c r="AI123" s="54">
        <v>0</v>
      </c>
      <c r="AJ123" s="54">
        <v>0</v>
      </c>
      <c r="AK123" s="54">
        <v>0</v>
      </c>
      <c r="AL123" s="54">
        <v>1</v>
      </c>
      <c r="AM123" s="54">
        <v>0</v>
      </c>
      <c r="AN123" s="14" t="s">
        <v>166</v>
      </c>
    </row>
    <row r="124" spans="1:40" ht="78.75" x14ac:dyDescent="0.25">
      <c r="A124" s="12" t="s">
        <v>1327</v>
      </c>
      <c r="B124" s="12" t="s">
        <v>1328</v>
      </c>
      <c r="C124" s="12" t="s">
        <v>1120</v>
      </c>
      <c r="D124" s="13" t="s">
        <v>97</v>
      </c>
      <c r="E124" s="13" t="s">
        <v>981</v>
      </c>
      <c r="F124" s="13">
        <v>5314</v>
      </c>
      <c r="G124" s="13" t="s">
        <v>55</v>
      </c>
      <c r="H124" s="13" t="s">
        <v>836</v>
      </c>
      <c r="I124" s="12"/>
      <c r="J124" s="13">
        <v>650354499</v>
      </c>
      <c r="K124" s="13"/>
      <c r="L124" s="13" t="s">
        <v>837</v>
      </c>
      <c r="M124" s="14" t="s">
        <v>1073</v>
      </c>
      <c r="N124" s="13" t="s">
        <v>1068</v>
      </c>
      <c r="O124" s="12" t="s">
        <v>53</v>
      </c>
      <c r="P124" s="12" t="s">
        <v>174</v>
      </c>
      <c r="Q124" s="12" t="s">
        <v>868</v>
      </c>
      <c r="R124" s="12" t="s">
        <v>174</v>
      </c>
      <c r="S124" s="14" t="s">
        <v>166</v>
      </c>
      <c r="T124" s="12" t="s">
        <v>1110</v>
      </c>
      <c r="U124" s="14" t="s">
        <v>780</v>
      </c>
      <c r="V124" s="14"/>
      <c r="W124" s="14"/>
      <c r="X124" s="12"/>
      <c r="Y124" s="12"/>
      <c r="Z124" s="14"/>
      <c r="AA124" s="12"/>
      <c r="AB124" s="15"/>
      <c r="AC124" s="16">
        <v>0</v>
      </c>
      <c r="AD124" s="16">
        <v>0</v>
      </c>
      <c r="AE124" s="16">
        <v>0</v>
      </c>
      <c r="AF124" s="16">
        <v>0</v>
      </c>
      <c r="AG124" s="16">
        <v>1</v>
      </c>
      <c r="AH124" s="14" t="s">
        <v>166</v>
      </c>
      <c r="AI124" s="54">
        <v>0</v>
      </c>
      <c r="AJ124" s="54">
        <v>0</v>
      </c>
      <c r="AK124" s="54">
        <v>0</v>
      </c>
      <c r="AL124" s="54">
        <v>0</v>
      </c>
      <c r="AM124" s="54">
        <v>1</v>
      </c>
      <c r="AN124" s="14" t="s">
        <v>166</v>
      </c>
    </row>
    <row r="125" spans="1:40" ht="78.75" x14ac:dyDescent="0.25">
      <c r="A125" s="12" t="s">
        <v>1329</v>
      </c>
      <c r="B125" s="12" t="s">
        <v>1330</v>
      </c>
      <c r="C125" s="12" t="s">
        <v>1120</v>
      </c>
      <c r="D125" s="13" t="s">
        <v>97</v>
      </c>
      <c r="E125" s="13" t="s">
        <v>982</v>
      </c>
      <c r="F125" s="13">
        <v>1256</v>
      </c>
      <c r="G125" s="13" t="s">
        <v>55</v>
      </c>
      <c r="H125" s="13" t="s">
        <v>635</v>
      </c>
      <c r="I125" s="12"/>
      <c r="J125" s="13">
        <v>618292171</v>
      </c>
      <c r="K125" s="13"/>
      <c r="L125" s="13" t="s">
        <v>636</v>
      </c>
      <c r="M125" s="14" t="s">
        <v>1074</v>
      </c>
      <c r="N125" s="13" t="s">
        <v>1069</v>
      </c>
      <c r="O125" s="12" t="s">
        <v>53</v>
      </c>
      <c r="P125" s="12" t="s">
        <v>174</v>
      </c>
      <c r="Q125" s="12" t="s">
        <v>868</v>
      </c>
      <c r="R125" s="12" t="s">
        <v>174</v>
      </c>
      <c r="S125" s="14" t="s">
        <v>166</v>
      </c>
      <c r="T125" s="12" t="s">
        <v>1110</v>
      </c>
      <c r="U125" s="14" t="s">
        <v>781</v>
      </c>
      <c r="V125" s="14"/>
      <c r="W125" s="14"/>
      <c r="X125" s="12"/>
      <c r="Y125" s="12"/>
      <c r="Z125" s="14"/>
      <c r="AA125" s="12"/>
      <c r="AB125" s="15"/>
      <c r="AC125" s="16">
        <v>0</v>
      </c>
      <c r="AD125" s="16">
        <v>1</v>
      </c>
      <c r="AE125" s="16">
        <v>0</v>
      </c>
      <c r="AF125" s="16">
        <v>0</v>
      </c>
      <c r="AG125" s="16">
        <v>0</v>
      </c>
      <c r="AH125" s="14" t="s">
        <v>166</v>
      </c>
      <c r="AI125" s="54">
        <v>0</v>
      </c>
      <c r="AJ125" s="54">
        <v>1</v>
      </c>
      <c r="AK125" s="54">
        <v>0</v>
      </c>
      <c r="AL125" s="54">
        <v>0</v>
      </c>
      <c r="AM125" s="54">
        <v>0</v>
      </c>
      <c r="AN125" s="14" t="s">
        <v>166</v>
      </c>
    </row>
    <row r="126" spans="1:40" ht="78.75" x14ac:dyDescent="0.25">
      <c r="A126" s="12" t="s">
        <v>1331</v>
      </c>
      <c r="B126" s="12" t="s">
        <v>1332</v>
      </c>
      <c r="C126" s="12" t="s">
        <v>1120</v>
      </c>
      <c r="D126" s="13" t="s">
        <v>97</v>
      </c>
      <c r="E126" s="13" t="s">
        <v>983</v>
      </c>
      <c r="F126" s="13">
        <v>905</v>
      </c>
      <c r="G126" s="13" t="s">
        <v>55</v>
      </c>
      <c r="H126" s="13" t="s">
        <v>669</v>
      </c>
      <c r="I126" s="12"/>
      <c r="J126" s="13">
        <v>690083657</v>
      </c>
      <c r="K126" s="13"/>
      <c r="L126" s="13" t="s">
        <v>670</v>
      </c>
      <c r="M126" s="14" t="s">
        <v>1073</v>
      </c>
      <c r="N126" s="13" t="s">
        <v>1068</v>
      </c>
      <c r="O126" s="12">
        <v>3</v>
      </c>
      <c r="P126" s="12" t="s">
        <v>174</v>
      </c>
      <c r="Q126" s="12" t="s">
        <v>174</v>
      </c>
      <c r="R126" s="12" t="s">
        <v>174</v>
      </c>
      <c r="S126" s="14" t="s">
        <v>166</v>
      </c>
      <c r="T126" s="12" t="s">
        <v>1110</v>
      </c>
      <c r="U126" s="14" t="s">
        <v>780</v>
      </c>
      <c r="V126" s="14"/>
      <c r="W126" s="14"/>
      <c r="X126" s="12"/>
      <c r="Y126" s="12"/>
      <c r="Z126" s="14"/>
      <c r="AA126" s="12"/>
      <c r="AB126" s="15"/>
      <c r="AC126" s="16">
        <v>0</v>
      </c>
      <c r="AD126" s="16">
        <v>0</v>
      </c>
      <c r="AE126" s="16">
        <v>0</v>
      </c>
      <c r="AF126" s="16">
        <v>1</v>
      </c>
      <c r="AG126" s="16">
        <v>0</v>
      </c>
      <c r="AH126" s="14" t="s">
        <v>166</v>
      </c>
      <c r="AI126" s="54">
        <v>0</v>
      </c>
      <c r="AJ126" s="54">
        <v>0</v>
      </c>
      <c r="AK126" s="54">
        <v>1</v>
      </c>
      <c r="AL126" s="54">
        <v>1</v>
      </c>
      <c r="AM126" s="54">
        <v>0</v>
      </c>
      <c r="AN126" s="14" t="s">
        <v>166</v>
      </c>
    </row>
    <row r="127" spans="1:40" ht="78.75" x14ac:dyDescent="0.25">
      <c r="A127" s="12" t="s">
        <v>1333</v>
      </c>
      <c r="B127" s="12" t="s">
        <v>1334</v>
      </c>
      <c r="C127" s="12" t="s">
        <v>1120</v>
      </c>
      <c r="D127" s="13" t="s">
        <v>97</v>
      </c>
      <c r="E127" s="13" t="s">
        <v>984</v>
      </c>
      <c r="F127" s="13">
        <v>2329</v>
      </c>
      <c r="G127" s="13" t="s">
        <v>55</v>
      </c>
      <c r="H127" s="13" t="s">
        <v>746</v>
      </c>
      <c r="I127" s="12"/>
      <c r="J127" s="13">
        <v>620535840</v>
      </c>
      <c r="K127" s="13"/>
      <c r="L127" s="13" t="s">
        <v>747</v>
      </c>
      <c r="M127" s="14" t="s">
        <v>153</v>
      </c>
      <c r="N127" s="13" t="s">
        <v>152</v>
      </c>
      <c r="O127" s="12" t="s">
        <v>53</v>
      </c>
      <c r="P127" s="12" t="s">
        <v>174</v>
      </c>
      <c r="Q127" s="12" t="s">
        <v>868</v>
      </c>
      <c r="R127" s="12" t="s">
        <v>174</v>
      </c>
      <c r="S127" s="14" t="s">
        <v>166</v>
      </c>
      <c r="T127" s="12" t="s">
        <v>1110</v>
      </c>
      <c r="U127" s="14" t="s">
        <v>782</v>
      </c>
      <c r="V127" s="14"/>
      <c r="W127" s="14"/>
      <c r="X127" s="12"/>
      <c r="Y127" s="12"/>
      <c r="Z127" s="14"/>
      <c r="AA127" s="12"/>
      <c r="AB127" s="15"/>
      <c r="AC127" s="16">
        <v>0</v>
      </c>
      <c r="AD127" s="16">
        <v>0</v>
      </c>
      <c r="AE127" s="16">
        <v>0</v>
      </c>
      <c r="AF127" s="16">
        <v>1</v>
      </c>
      <c r="AG127" s="16">
        <v>0</v>
      </c>
      <c r="AH127" s="14" t="s">
        <v>166</v>
      </c>
      <c r="AI127" s="54">
        <v>0</v>
      </c>
      <c r="AJ127" s="54">
        <v>0</v>
      </c>
      <c r="AK127" s="54">
        <v>0</v>
      </c>
      <c r="AL127" s="54">
        <v>1</v>
      </c>
      <c r="AM127" s="54">
        <v>0</v>
      </c>
      <c r="AN127" s="14" t="s">
        <v>166</v>
      </c>
    </row>
    <row r="128" spans="1:40" ht="78.75" x14ac:dyDescent="0.25">
      <c r="A128" s="12" t="s">
        <v>1333</v>
      </c>
      <c r="B128" s="12" t="s">
        <v>1334</v>
      </c>
      <c r="C128" s="12" t="s">
        <v>1120</v>
      </c>
      <c r="D128" s="13" t="s">
        <v>97</v>
      </c>
      <c r="E128" s="13" t="s">
        <v>984</v>
      </c>
      <c r="F128" s="13">
        <v>2386</v>
      </c>
      <c r="G128" s="13" t="s">
        <v>55</v>
      </c>
      <c r="H128" s="13" t="s">
        <v>641</v>
      </c>
      <c r="I128" s="12"/>
      <c r="J128" s="13">
        <v>676773163</v>
      </c>
      <c r="K128" s="13"/>
      <c r="L128" s="13" t="s">
        <v>642</v>
      </c>
      <c r="M128" s="14" t="s">
        <v>153</v>
      </c>
      <c r="N128" s="13" t="s">
        <v>152</v>
      </c>
      <c r="O128" s="12" t="s">
        <v>53</v>
      </c>
      <c r="P128" s="12" t="s">
        <v>174</v>
      </c>
      <c r="Q128" s="12" t="s">
        <v>868</v>
      </c>
      <c r="R128" s="12" t="s">
        <v>174</v>
      </c>
      <c r="S128" s="14" t="s">
        <v>166</v>
      </c>
      <c r="T128" s="12" t="s">
        <v>1110</v>
      </c>
      <c r="U128" s="14" t="s">
        <v>782</v>
      </c>
      <c r="V128" s="14"/>
      <c r="W128" s="14"/>
      <c r="X128" s="12"/>
      <c r="Y128" s="12"/>
      <c r="Z128" s="14"/>
      <c r="AA128" s="12"/>
      <c r="AB128" s="15"/>
      <c r="AC128" s="16">
        <v>0</v>
      </c>
      <c r="AD128" s="16">
        <v>0</v>
      </c>
      <c r="AE128" s="16">
        <v>0</v>
      </c>
      <c r="AF128" s="16">
        <v>0</v>
      </c>
      <c r="AG128" s="16">
        <v>0</v>
      </c>
      <c r="AH128" s="14" t="s">
        <v>174</v>
      </c>
      <c r="AI128" s="54">
        <v>0</v>
      </c>
      <c r="AJ128" s="54">
        <v>0</v>
      </c>
      <c r="AK128" s="54">
        <v>1</v>
      </c>
      <c r="AL128" s="54">
        <v>0</v>
      </c>
      <c r="AM128" s="54">
        <v>0</v>
      </c>
      <c r="AN128" s="14" t="s">
        <v>166</v>
      </c>
    </row>
    <row r="129" spans="1:40" ht="78.75" x14ac:dyDescent="0.25">
      <c r="A129" s="12" t="s">
        <v>1335</v>
      </c>
      <c r="B129" s="12" t="s">
        <v>1336</v>
      </c>
      <c r="C129" s="12" t="s">
        <v>1120</v>
      </c>
      <c r="D129" s="13" t="s">
        <v>97</v>
      </c>
      <c r="E129" s="13" t="s">
        <v>983</v>
      </c>
      <c r="F129" s="13">
        <v>3731</v>
      </c>
      <c r="G129" s="13" t="s">
        <v>40</v>
      </c>
      <c r="H129" s="13" t="s">
        <v>673</v>
      </c>
      <c r="I129" s="12"/>
      <c r="J129" s="13">
        <v>683273284</v>
      </c>
      <c r="K129" s="13"/>
      <c r="L129" s="13" t="s">
        <v>674</v>
      </c>
      <c r="M129" s="14" t="s">
        <v>1074</v>
      </c>
      <c r="N129" s="13" t="s">
        <v>1069</v>
      </c>
      <c r="O129" s="12" t="s">
        <v>53</v>
      </c>
      <c r="P129" s="12" t="s">
        <v>174</v>
      </c>
      <c r="Q129" s="12" t="s">
        <v>868</v>
      </c>
      <c r="R129" s="12" t="s">
        <v>174</v>
      </c>
      <c r="S129" s="14" t="s">
        <v>166</v>
      </c>
      <c r="T129" s="12" t="s">
        <v>1110</v>
      </c>
      <c r="U129" s="14" t="s">
        <v>781</v>
      </c>
      <c r="V129" s="14"/>
      <c r="W129" s="14"/>
      <c r="X129" s="12"/>
      <c r="Y129" s="12"/>
      <c r="Z129" s="14"/>
      <c r="AA129" s="12"/>
      <c r="AB129" s="15"/>
      <c r="AC129" s="16">
        <v>0</v>
      </c>
      <c r="AD129" s="16">
        <v>0</v>
      </c>
      <c r="AE129" s="16">
        <v>0</v>
      </c>
      <c r="AF129" s="16">
        <v>1</v>
      </c>
      <c r="AG129" s="16">
        <v>0</v>
      </c>
      <c r="AH129" s="14" t="s">
        <v>166</v>
      </c>
      <c r="AI129" s="54">
        <v>0</v>
      </c>
      <c r="AJ129" s="54">
        <v>0</v>
      </c>
      <c r="AK129" s="54">
        <v>0</v>
      </c>
      <c r="AL129" s="54">
        <v>1</v>
      </c>
      <c r="AM129" s="54">
        <v>0</v>
      </c>
      <c r="AN129" s="14" t="s">
        <v>166</v>
      </c>
    </row>
    <row r="130" spans="1:40" ht="47.25" x14ac:dyDescent="0.25">
      <c r="A130" s="12" t="s">
        <v>1337</v>
      </c>
      <c r="B130" s="12" t="s">
        <v>1338</v>
      </c>
      <c r="C130" s="12" t="s">
        <v>1120</v>
      </c>
      <c r="D130" s="13" t="s">
        <v>979</v>
      </c>
      <c r="E130" s="13" t="s">
        <v>980</v>
      </c>
      <c r="F130" s="13">
        <v>391</v>
      </c>
      <c r="G130" s="13" t="s">
        <v>40</v>
      </c>
      <c r="H130" s="13" t="s">
        <v>280</v>
      </c>
      <c r="I130" s="12"/>
      <c r="J130" s="13">
        <v>648122777</v>
      </c>
      <c r="K130" s="13"/>
      <c r="L130" s="13" t="s">
        <v>281</v>
      </c>
      <c r="M130" s="14" t="s">
        <v>1074</v>
      </c>
      <c r="N130" s="13" t="s">
        <v>1069</v>
      </c>
      <c r="O130" s="12" t="s">
        <v>53</v>
      </c>
      <c r="P130" s="12" t="s">
        <v>174</v>
      </c>
      <c r="Q130" s="12" t="s">
        <v>868</v>
      </c>
      <c r="R130" s="12" t="s">
        <v>174</v>
      </c>
      <c r="S130" s="14" t="s">
        <v>166</v>
      </c>
      <c r="T130" s="12" t="s">
        <v>1110</v>
      </c>
      <c r="U130" s="14" t="s">
        <v>781</v>
      </c>
      <c r="V130" s="14"/>
      <c r="W130" s="14"/>
      <c r="X130" s="12"/>
      <c r="Y130" s="12"/>
      <c r="Z130" s="14"/>
      <c r="AA130" s="12"/>
      <c r="AB130" s="15"/>
      <c r="AC130" s="16">
        <v>0</v>
      </c>
      <c r="AD130" s="16">
        <v>0</v>
      </c>
      <c r="AE130" s="16">
        <v>1</v>
      </c>
      <c r="AF130" s="16">
        <v>0</v>
      </c>
      <c r="AG130" s="16">
        <v>0</v>
      </c>
      <c r="AH130" s="14" t="s">
        <v>166</v>
      </c>
      <c r="AI130" s="54">
        <v>0</v>
      </c>
      <c r="AJ130" s="54">
        <v>0</v>
      </c>
      <c r="AK130" s="54">
        <v>1</v>
      </c>
      <c r="AL130" s="54">
        <v>0</v>
      </c>
      <c r="AM130" s="54">
        <v>0</v>
      </c>
      <c r="AN130" s="14" t="s">
        <v>166</v>
      </c>
    </row>
    <row r="131" spans="1:40" ht="78.75" x14ac:dyDescent="0.25">
      <c r="A131" s="12" t="s">
        <v>1339</v>
      </c>
      <c r="B131" s="12" t="s">
        <v>1340</v>
      </c>
      <c r="C131" s="12" t="s">
        <v>1120</v>
      </c>
      <c r="D131" s="13" t="s">
        <v>97</v>
      </c>
      <c r="E131" s="13" t="s">
        <v>982</v>
      </c>
      <c r="F131" s="13">
        <v>4816</v>
      </c>
      <c r="G131" s="13" t="s">
        <v>41</v>
      </c>
      <c r="H131" s="13" t="s">
        <v>633</v>
      </c>
      <c r="I131" s="12"/>
      <c r="J131" s="13">
        <v>650525597</v>
      </c>
      <c r="K131" s="13"/>
      <c r="L131" s="13" t="s">
        <v>634</v>
      </c>
      <c r="M131" s="14" t="s">
        <v>1073</v>
      </c>
      <c r="N131" s="13" t="s">
        <v>1068</v>
      </c>
      <c r="O131" s="12" t="s">
        <v>53</v>
      </c>
      <c r="P131" s="12" t="s">
        <v>174</v>
      </c>
      <c r="Q131" s="12" t="s">
        <v>868</v>
      </c>
      <c r="R131" s="12" t="s">
        <v>174</v>
      </c>
      <c r="S131" s="14" t="s">
        <v>166</v>
      </c>
      <c r="T131" s="12" t="s">
        <v>1110</v>
      </c>
      <c r="U131" s="14" t="s">
        <v>780</v>
      </c>
      <c r="V131" s="14"/>
      <c r="W131" s="14"/>
      <c r="X131" s="12"/>
      <c r="Y131" s="12"/>
      <c r="Z131" s="14"/>
      <c r="AA131" s="12"/>
      <c r="AB131" s="15"/>
      <c r="AC131" s="16">
        <v>0</v>
      </c>
      <c r="AD131" s="16">
        <v>0</v>
      </c>
      <c r="AE131" s="16">
        <v>0</v>
      </c>
      <c r="AF131" s="16">
        <v>0</v>
      </c>
      <c r="AG131" s="16">
        <v>1</v>
      </c>
      <c r="AH131" s="14" t="s">
        <v>166</v>
      </c>
      <c r="AI131" s="54">
        <v>0</v>
      </c>
      <c r="AJ131" s="54">
        <v>0</v>
      </c>
      <c r="AK131" s="54">
        <v>0</v>
      </c>
      <c r="AL131" s="54">
        <v>0</v>
      </c>
      <c r="AM131" s="54">
        <v>1</v>
      </c>
      <c r="AN131" s="14" t="s">
        <v>166</v>
      </c>
    </row>
    <row r="132" spans="1:40" ht="78.75" x14ac:dyDescent="0.25">
      <c r="A132" s="12" t="s">
        <v>1341</v>
      </c>
      <c r="B132" s="12" t="s">
        <v>1342</v>
      </c>
      <c r="C132" s="12" t="s">
        <v>1120</v>
      </c>
      <c r="D132" s="13" t="s">
        <v>97</v>
      </c>
      <c r="E132" s="13" t="s">
        <v>983</v>
      </c>
      <c r="F132" s="13">
        <v>272</v>
      </c>
      <c r="G132" s="13" t="s">
        <v>41</v>
      </c>
      <c r="H132" s="13" t="s">
        <v>671</v>
      </c>
      <c r="I132" s="12"/>
      <c r="J132" s="13">
        <v>660760302</v>
      </c>
      <c r="K132" s="13"/>
      <c r="L132" s="13" t="s">
        <v>672</v>
      </c>
      <c r="M132" s="14" t="s">
        <v>1075</v>
      </c>
      <c r="N132" s="13" t="s">
        <v>1070</v>
      </c>
      <c r="O132" s="12" t="s">
        <v>53</v>
      </c>
      <c r="P132" s="12" t="s">
        <v>174</v>
      </c>
      <c r="Q132" s="12" t="s">
        <v>868</v>
      </c>
      <c r="R132" s="12" t="s">
        <v>174</v>
      </c>
      <c r="S132" s="14" t="s">
        <v>166</v>
      </c>
      <c r="T132" s="12" t="s">
        <v>1110</v>
      </c>
      <c r="U132" s="14" t="s">
        <v>1067</v>
      </c>
      <c r="V132" s="14"/>
      <c r="W132" s="14"/>
      <c r="X132" s="12"/>
      <c r="Y132" s="12"/>
      <c r="Z132" s="14"/>
      <c r="AA132" s="12"/>
      <c r="AB132" s="15"/>
      <c r="AC132" s="16">
        <v>0</v>
      </c>
      <c r="AD132" s="16">
        <v>0</v>
      </c>
      <c r="AE132" s="16">
        <v>0</v>
      </c>
      <c r="AF132" s="16">
        <v>1</v>
      </c>
      <c r="AG132" s="16">
        <v>0</v>
      </c>
      <c r="AH132" s="14" t="s">
        <v>166</v>
      </c>
      <c r="AI132" s="54">
        <v>0</v>
      </c>
      <c r="AJ132" s="54">
        <v>0</v>
      </c>
      <c r="AK132" s="54">
        <v>0</v>
      </c>
      <c r="AL132" s="54">
        <v>1</v>
      </c>
      <c r="AM132" s="54">
        <v>0</v>
      </c>
      <c r="AN132" s="14" t="s">
        <v>166</v>
      </c>
    </row>
    <row r="133" spans="1:40" ht="47.25" x14ac:dyDescent="0.25">
      <c r="A133" s="12" t="s">
        <v>1343</v>
      </c>
      <c r="B133" s="12" t="s">
        <v>1344</v>
      </c>
      <c r="C133" s="12" t="s">
        <v>1120</v>
      </c>
      <c r="D133" s="13" t="s">
        <v>978</v>
      </c>
      <c r="E133" s="13" t="s">
        <v>980</v>
      </c>
      <c r="F133" s="13">
        <v>993</v>
      </c>
      <c r="G133" s="13" t="s">
        <v>41</v>
      </c>
      <c r="H133" s="13" t="s">
        <v>274</v>
      </c>
      <c r="I133" s="12"/>
      <c r="J133" s="13">
        <v>638129412</v>
      </c>
      <c r="K133" s="13"/>
      <c r="L133" s="13" t="s">
        <v>275</v>
      </c>
      <c r="M133" s="14" t="s">
        <v>1073</v>
      </c>
      <c r="N133" s="13" t="s">
        <v>1068</v>
      </c>
      <c r="O133" s="12" t="s">
        <v>53</v>
      </c>
      <c r="P133" s="12" t="s">
        <v>174</v>
      </c>
      <c r="Q133" s="12" t="s">
        <v>868</v>
      </c>
      <c r="R133" s="12" t="s">
        <v>174</v>
      </c>
      <c r="S133" s="14" t="s">
        <v>166</v>
      </c>
      <c r="T133" s="12" t="s">
        <v>1110</v>
      </c>
      <c r="U133" s="14" t="s">
        <v>780</v>
      </c>
      <c r="V133" s="14"/>
      <c r="W133" s="14"/>
      <c r="X133" s="12"/>
      <c r="Y133" s="12"/>
      <c r="Z133" s="14"/>
      <c r="AA133" s="12"/>
      <c r="AB133" s="15"/>
      <c r="AC133" s="16">
        <v>1</v>
      </c>
      <c r="AD133" s="16">
        <v>0</v>
      </c>
      <c r="AE133" s="16">
        <v>0</v>
      </c>
      <c r="AF133" s="16">
        <v>0</v>
      </c>
      <c r="AG133" s="16">
        <v>0</v>
      </c>
      <c r="AH133" s="14" t="s">
        <v>166</v>
      </c>
      <c r="AI133" s="54">
        <v>0</v>
      </c>
      <c r="AJ133" s="54">
        <v>0</v>
      </c>
      <c r="AK133" s="54">
        <v>1</v>
      </c>
      <c r="AL133" s="54">
        <v>0</v>
      </c>
      <c r="AM133" s="54">
        <v>0</v>
      </c>
      <c r="AN133" s="14" t="s">
        <v>166</v>
      </c>
    </row>
    <row r="134" spans="1:40" ht="47.25" x14ac:dyDescent="0.25">
      <c r="A134" s="12" t="s">
        <v>1343</v>
      </c>
      <c r="B134" s="12" t="s">
        <v>1344</v>
      </c>
      <c r="C134" s="12" t="s">
        <v>1120</v>
      </c>
      <c r="D134" s="13" t="s">
        <v>978</v>
      </c>
      <c r="E134" s="13" t="s">
        <v>980</v>
      </c>
      <c r="F134" s="13">
        <v>2448</v>
      </c>
      <c r="G134" s="13" t="s">
        <v>41</v>
      </c>
      <c r="H134" s="13" t="s">
        <v>272</v>
      </c>
      <c r="I134" s="12"/>
      <c r="J134" s="13">
        <v>620637675</v>
      </c>
      <c r="K134" s="13"/>
      <c r="L134" s="13" t="s">
        <v>273</v>
      </c>
      <c r="M134" s="14" t="s">
        <v>1073</v>
      </c>
      <c r="N134" s="13" t="s">
        <v>1068</v>
      </c>
      <c r="O134" s="12" t="s">
        <v>53</v>
      </c>
      <c r="P134" s="12" t="s">
        <v>174</v>
      </c>
      <c r="Q134" s="12" t="s">
        <v>868</v>
      </c>
      <c r="R134" s="12" t="s">
        <v>174</v>
      </c>
      <c r="S134" s="14" t="s">
        <v>166</v>
      </c>
      <c r="T134" s="12" t="s">
        <v>1110</v>
      </c>
      <c r="U134" s="14" t="s">
        <v>780</v>
      </c>
      <c r="V134" s="14"/>
      <c r="W134" s="14"/>
      <c r="X134" s="12"/>
      <c r="Y134" s="12"/>
      <c r="Z134" s="14"/>
      <c r="AA134" s="12"/>
      <c r="AB134" s="15"/>
      <c r="AC134" s="16">
        <v>0</v>
      </c>
      <c r="AD134" s="16">
        <v>0</v>
      </c>
      <c r="AE134" s="16">
        <v>0</v>
      </c>
      <c r="AF134" s="16">
        <v>0</v>
      </c>
      <c r="AG134" s="16">
        <v>1</v>
      </c>
      <c r="AH134" s="14" t="s">
        <v>166</v>
      </c>
      <c r="AI134" s="54">
        <v>0</v>
      </c>
      <c r="AJ134" s="54">
        <v>0</v>
      </c>
      <c r="AK134" s="54">
        <v>1</v>
      </c>
      <c r="AL134" s="54">
        <v>0</v>
      </c>
      <c r="AM134" s="54">
        <v>1</v>
      </c>
      <c r="AN134" s="14" t="s">
        <v>166</v>
      </c>
    </row>
    <row r="135" spans="1:40" ht="47.25" x14ac:dyDescent="0.25">
      <c r="A135" s="12" t="s">
        <v>1345</v>
      </c>
      <c r="B135" s="12" t="s">
        <v>1346</v>
      </c>
      <c r="C135" s="12" t="s">
        <v>1120</v>
      </c>
      <c r="D135" s="13" t="s">
        <v>979</v>
      </c>
      <c r="E135" s="13" t="s">
        <v>980</v>
      </c>
      <c r="F135" s="13">
        <v>2369</v>
      </c>
      <c r="G135" s="13" t="s">
        <v>45</v>
      </c>
      <c r="H135" s="13" t="s">
        <v>284</v>
      </c>
      <c r="I135" s="12"/>
      <c r="J135" s="13">
        <v>608903885</v>
      </c>
      <c r="K135" s="13"/>
      <c r="L135" s="13" t="s">
        <v>285</v>
      </c>
      <c r="M135" s="14" t="s">
        <v>153</v>
      </c>
      <c r="N135" s="13" t="s">
        <v>152</v>
      </c>
      <c r="O135" s="12">
        <v>2</v>
      </c>
      <c r="P135" s="12" t="s">
        <v>174</v>
      </c>
      <c r="Q135" s="12" t="s">
        <v>868</v>
      </c>
      <c r="R135" s="12" t="s">
        <v>174</v>
      </c>
      <c r="S135" s="14" t="s">
        <v>166</v>
      </c>
      <c r="T135" s="12" t="s">
        <v>1110</v>
      </c>
      <c r="U135" s="14" t="s">
        <v>782</v>
      </c>
      <c r="V135" s="14"/>
      <c r="W135" s="14"/>
      <c r="X135" s="12"/>
      <c r="Y135" s="12"/>
      <c r="Z135" s="14"/>
      <c r="AA135" s="12"/>
      <c r="AB135" s="15"/>
      <c r="AC135" s="16">
        <v>0</v>
      </c>
      <c r="AD135" s="16">
        <v>0</v>
      </c>
      <c r="AE135" s="16">
        <v>1</v>
      </c>
      <c r="AF135" s="16">
        <v>0</v>
      </c>
      <c r="AG135" s="16">
        <v>0</v>
      </c>
      <c r="AH135" s="14" t="s">
        <v>166</v>
      </c>
      <c r="AI135" s="54">
        <v>0</v>
      </c>
      <c r="AJ135" s="54">
        <v>0</v>
      </c>
      <c r="AK135" s="54">
        <v>1</v>
      </c>
      <c r="AL135" s="54">
        <v>0</v>
      </c>
      <c r="AM135" s="54">
        <v>0</v>
      </c>
      <c r="AN135" s="14" t="s">
        <v>166</v>
      </c>
    </row>
    <row r="136" spans="1:40" ht="78.75" x14ac:dyDescent="0.25">
      <c r="A136" s="12" t="s">
        <v>1347</v>
      </c>
      <c r="B136" s="12" t="s">
        <v>1348</v>
      </c>
      <c r="C136" s="12" t="s">
        <v>1120</v>
      </c>
      <c r="D136" s="13" t="s">
        <v>97</v>
      </c>
      <c r="E136" s="13" t="s">
        <v>982</v>
      </c>
      <c r="F136" s="13">
        <v>5227</v>
      </c>
      <c r="G136" s="13" t="s">
        <v>35</v>
      </c>
      <c r="H136" s="13" t="s">
        <v>838</v>
      </c>
      <c r="I136" s="12"/>
      <c r="J136" s="13">
        <v>679354948</v>
      </c>
      <c r="K136" s="13"/>
      <c r="L136" s="13" t="s">
        <v>839</v>
      </c>
      <c r="M136" s="14" t="s">
        <v>164</v>
      </c>
      <c r="N136" s="13" t="s">
        <v>869</v>
      </c>
      <c r="O136" s="12" t="s">
        <v>53</v>
      </c>
      <c r="P136" s="12" t="s">
        <v>174</v>
      </c>
      <c r="Q136" s="12" t="s">
        <v>868</v>
      </c>
      <c r="R136" s="12" t="s">
        <v>174</v>
      </c>
      <c r="S136" s="14" t="s">
        <v>166</v>
      </c>
      <c r="T136" s="12" t="s">
        <v>1110</v>
      </c>
      <c r="U136" s="14" t="s">
        <v>1349</v>
      </c>
      <c r="V136" s="14"/>
      <c r="W136" s="14"/>
      <c r="X136" s="12"/>
      <c r="Y136" s="12"/>
      <c r="Z136" s="14"/>
      <c r="AA136" s="12"/>
      <c r="AB136" s="15"/>
      <c r="AC136" s="16">
        <v>0</v>
      </c>
      <c r="AD136" s="16">
        <v>0</v>
      </c>
      <c r="AE136" s="16">
        <v>0</v>
      </c>
      <c r="AF136" s="16">
        <v>0</v>
      </c>
      <c r="AG136" s="16">
        <v>0</v>
      </c>
      <c r="AH136" s="14" t="s">
        <v>174</v>
      </c>
      <c r="AI136" s="54">
        <v>0</v>
      </c>
      <c r="AJ136" s="54">
        <v>0</v>
      </c>
      <c r="AK136" s="54">
        <v>0</v>
      </c>
      <c r="AL136" s="54">
        <v>0</v>
      </c>
      <c r="AM136" s="54">
        <v>0</v>
      </c>
      <c r="AN136" s="14" t="s">
        <v>174</v>
      </c>
    </row>
    <row r="137" spans="1:40" ht="78.75" x14ac:dyDescent="0.25">
      <c r="A137" s="12" t="s">
        <v>1350</v>
      </c>
      <c r="B137" s="12" t="s">
        <v>1351</v>
      </c>
      <c r="C137" s="12" t="s">
        <v>1120</v>
      </c>
      <c r="D137" s="13" t="s">
        <v>979</v>
      </c>
      <c r="E137" s="13" t="s">
        <v>980</v>
      </c>
      <c r="F137" s="13">
        <v>1148</v>
      </c>
      <c r="G137" s="13" t="s">
        <v>35</v>
      </c>
      <c r="H137" s="13" t="s">
        <v>278</v>
      </c>
      <c r="I137" s="12"/>
      <c r="J137" s="13">
        <v>676987398</v>
      </c>
      <c r="K137" s="13"/>
      <c r="L137" s="13" t="s">
        <v>279</v>
      </c>
      <c r="M137" s="14" t="s">
        <v>157</v>
      </c>
      <c r="N137" s="13" t="s">
        <v>156</v>
      </c>
      <c r="O137" s="12" t="s">
        <v>53</v>
      </c>
      <c r="P137" s="12" t="s">
        <v>174</v>
      </c>
      <c r="Q137" s="12" t="s">
        <v>868</v>
      </c>
      <c r="R137" s="12" t="s">
        <v>174</v>
      </c>
      <c r="S137" s="14" t="s">
        <v>166</v>
      </c>
      <c r="T137" s="12" t="s">
        <v>1110</v>
      </c>
      <c r="U137" s="14" t="s">
        <v>1111</v>
      </c>
      <c r="V137" s="14"/>
      <c r="W137" s="14"/>
      <c r="X137" s="12"/>
      <c r="Y137" s="12"/>
      <c r="Z137" s="14"/>
      <c r="AA137" s="12"/>
      <c r="AB137" s="15"/>
      <c r="AC137" s="16">
        <v>0</v>
      </c>
      <c r="AD137" s="16">
        <v>0</v>
      </c>
      <c r="AE137" s="16">
        <v>0</v>
      </c>
      <c r="AF137" s="16">
        <v>0</v>
      </c>
      <c r="AG137" s="16">
        <v>0</v>
      </c>
      <c r="AH137" s="14" t="s">
        <v>174</v>
      </c>
      <c r="AI137" s="54">
        <v>0</v>
      </c>
      <c r="AJ137" s="54">
        <v>0</v>
      </c>
      <c r="AK137" s="54">
        <v>0</v>
      </c>
      <c r="AL137" s="54">
        <v>1</v>
      </c>
      <c r="AM137" s="54">
        <v>1</v>
      </c>
      <c r="AN137" s="14" t="s">
        <v>166</v>
      </c>
    </row>
    <row r="138" spans="1:40" ht="47.25" x14ac:dyDescent="0.25">
      <c r="A138" s="12" t="s">
        <v>1352</v>
      </c>
      <c r="B138" s="12" t="s">
        <v>1353</v>
      </c>
      <c r="C138" s="12" t="s">
        <v>1120</v>
      </c>
      <c r="D138" s="13" t="s">
        <v>979</v>
      </c>
      <c r="E138" s="13" t="s">
        <v>980</v>
      </c>
      <c r="F138" s="13">
        <v>2450</v>
      </c>
      <c r="G138" s="13" t="s">
        <v>46</v>
      </c>
      <c r="H138" s="13" t="s">
        <v>282</v>
      </c>
      <c r="I138" s="12"/>
      <c r="J138" s="13">
        <v>620090780</v>
      </c>
      <c r="K138" s="13"/>
      <c r="L138" s="13" t="s">
        <v>283</v>
      </c>
      <c r="M138" s="14" t="s">
        <v>153</v>
      </c>
      <c r="N138" s="13" t="s">
        <v>152</v>
      </c>
      <c r="O138" s="12" t="s">
        <v>53</v>
      </c>
      <c r="P138" s="12" t="s">
        <v>174</v>
      </c>
      <c r="Q138" s="12" t="s">
        <v>868</v>
      </c>
      <c r="R138" s="12" t="s">
        <v>174</v>
      </c>
      <c r="S138" s="14" t="s">
        <v>166</v>
      </c>
      <c r="T138" s="12" t="s">
        <v>1110</v>
      </c>
      <c r="U138" s="14" t="s">
        <v>782</v>
      </c>
      <c r="V138" s="14"/>
      <c r="W138" s="14"/>
      <c r="X138" s="12"/>
      <c r="Y138" s="12"/>
      <c r="Z138" s="14"/>
      <c r="AA138" s="12"/>
      <c r="AB138" s="15"/>
      <c r="AC138" s="16">
        <v>0</v>
      </c>
      <c r="AD138" s="16">
        <v>0</v>
      </c>
      <c r="AE138" s="16">
        <v>0</v>
      </c>
      <c r="AF138" s="16">
        <v>1</v>
      </c>
      <c r="AG138" s="16">
        <v>0</v>
      </c>
      <c r="AH138" s="14" t="s">
        <v>166</v>
      </c>
      <c r="AI138" s="54">
        <v>0</v>
      </c>
      <c r="AJ138" s="54">
        <v>0</v>
      </c>
      <c r="AK138" s="54">
        <v>0</v>
      </c>
      <c r="AL138" s="54">
        <v>1</v>
      </c>
      <c r="AM138" s="54">
        <v>0</v>
      </c>
      <c r="AN138" s="14" t="s">
        <v>166</v>
      </c>
    </row>
    <row r="139" spans="1:40" ht="78.75" x14ac:dyDescent="0.25">
      <c r="A139" s="12" t="s">
        <v>1354</v>
      </c>
      <c r="B139" s="12" t="s">
        <v>1355</v>
      </c>
      <c r="C139" s="12" t="s">
        <v>1120</v>
      </c>
      <c r="D139" s="13" t="s">
        <v>97</v>
      </c>
      <c r="E139" s="13" t="s">
        <v>985</v>
      </c>
      <c r="F139" s="13">
        <v>1895</v>
      </c>
      <c r="G139" s="13" t="s">
        <v>46</v>
      </c>
      <c r="H139" s="13" t="s">
        <v>645</v>
      </c>
      <c r="I139" s="12"/>
      <c r="J139" s="13">
        <v>681140842</v>
      </c>
      <c r="K139" s="13"/>
      <c r="L139" s="13" t="s">
        <v>646</v>
      </c>
      <c r="M139" s="14" t="s">
        <v>1073</v>
      </c>
      <c r="N139" s="13" t="s">
        <v>1068</v>
      </c>
      <c r="O139" s="12">
        <v>3</v>
      </c>
      <c r="P139" s="12" t="s">
        <v>174</v>
      </c>
      <c r="Q139" s="12" t="s">
        <v>868</v>
      </c>
      <c r="R139" s="12" t="s">
        <v>174</v>
      </c>
      <c r="S139" s="14" t="s">
        <v>166</v>
      </c>
      <c r="T139" s="12" t="s">
        <v>1110</v>
      </c>
      <c r="U139" s="14" t="s">
        <v>780</v>
      </c>
      <c r="V139" s="14"/>
      <c r="W139" s="14"/>
      <c r="X139" s="12"/>
      <c r="Y139" s="12"/>
      <c r="Z139" s="14"/>
      <c r="AA139" s="12"/>
      <c r="AB139" s="15"/>
      <c r="AC139" s="16">
        <v>0</v>
      </c>
      <c r="AD139" s="16">
        <v>0</v>
      </c>
      <c r="AE139" s="16">
        <v>0</v>
      </c>
      <c r="AF139" s="16">
        <v>0</v>
      </c>
      <c r="AG139" s="16">
        <v>1</v>
      </c>
      <c r="AH139" s="14" t="s">
        <v>166</v>
      </c>
      <c r="AI139" s="54">
        <v>0</v>
      </c>
      <c r="AJ139" s="54">
        <v>0</v>
      </c>
      <c r="AK139" s="54">
        <v>0</v>
      </c>
      <c r="AL139" s="54">
        <v>0</v>
      </c>
      <c r="AM139" s="54">
        <v>1</v>
      </c>
      <c r="AN139" s="14" t="s">
        <v>166</v>
      </c>
    </row>
    <row r="140" spans="1:40" ht="47.25" x14ac:dyDescent="0.25">
      <c r="A140" s="12" t="s">
        <v>1356</v>
      </c>
      <c r="B140" s="12" t="s">
        <v>1357</v>
      </c>
      <c r="C140" s="12" t="s">
        <v>1133</v>
      </c>
      <c r="D140" s="13" t="s">
        <v>26</v>
      </c>
      <c r="E140" s="13" t="s">
        <v>26</v>
      </c>
      <c r="F140" s="13">
        <v>904</v>
      </c>
      <c r="G140" s="13" t="s">
        <v>27</v>
      </c>
      <c r="H140" s="13" t="s">
        <v>677</v>
      </c>
      <c r="I140" s="12"/>
      <c r="J140" s="13">
        <v>618740908</v>
      </c>
      <c r="K140" s="13"/>
      <c r="L140" s="13" t="s">
        <v>678</v>
      </c>
      <c r="M140" s="14" t="s">
        <v>1073</v>
      </c>
      <c r="N140" s="13" t="s">
        <v>1068</v>
      </c>
      <c r="O140" s="12"/>
      <c r="P140" s="12" t="s">
        <v>174</v>
      </c>
      <c r="Q140" s="12" t="s">
        <v>174</v>
      </c>
      <c r="R140" s="12" t="s">
        <v>867</v>
      </c>
      <c r="S140" s="14" t="s">
        <v>166</v>
      </c>
      <c r="T140" s="12" t="s">
        <v>1110</v>
      </c>
      <c r="U140" s="14" t="s">
        <v>780</v>
      </c>
      <c r="V140" s="14"/>
      <c r="W140" s="14"/>
      <c r="X140" s="12"/>
      <c r="Y140" s="12"/>
      <c r="Z140" s="14"/>
      <c r="AA140" s="12"/>
      <c r="AB140" s="15"/>
      <c r="AC140" s="16" t="s">
        <v>111</v>
      </c>
      <c r="AD140" s="16" t="s">
        <v>111</v>
      </c>
      <c r="AE140" s="16" t="s">
        <v>111</v>
      </c>
      <c r="AF140" s="16" t="s">
        <v>111</v>
      </c>
      <c r="AG140" s="16" t="s">
        <v>111</v>
      </c>
      <c r="AH140" s="14" t="s">
        <v>1149</v>
      </c>
      <c r="AI140" s="54">
        <v>0</v>
      </c>
      <c r="AJ140" s="54">
        <v>0</v>
      </c>
      <c r="AK140" s="54">
        <v>0</v>
      </c>
      <c r="AL140" s="54">
        <v>0</v>
      </c>
      <c r="AM140" s="54">
        <v>1</v>
      </c>
      <c r="AN140" s="14" t="s">
        <v>166</v>
      </c>
    </row>
    <row r="141" spans="1:40" ht="47.25" x14ac:dyDescent="0.25">
      <c r="A141" s="12" t="s">
        <v>1358</v>
      </c>
      <c r="B141" s="12" t="s">
        <v>1359</v>
      </c>
      <c r="C141" s="12" t="s">
        <v>1133</v>
      </c>
      <c r="D141" s="13" t="s">
        <v>28</v>
      </c>
      <c r="E141" s="13" t="s">
        <v>28</v>
      </c>
      <c r="F141" s="13">
        <v>1078</v>
      </c>
      <c r="G141" s="13" t="s">
        <v>29</v>
      </c>
      <c r="H141" s="13" t="s">
        <v>418</v>
      </c>
      <c r="I141" s="12"/>
      <c r="J141" s="13">
        <v>608518938</v>
      </c>
      <c r="K141" s="13"/>
      <c r="L141" s="13" t="s">
        <v>419</v>
      </c>
      <c r="M141" s="14" t="s">
        <v>1073</v>
      </c>
      <c r="N141" s="13" t="s">
        <v>1068</v>
      </c>
      <c r="O141" s="12"/>
      <c r="P141" s="12" t="s">
        <v>174</v>
      </c>
      <c r="Q141" s="12" t="s">
        <v>868</v>
      </c>
      <c r="R141" s="12" t="s">
        <v>174</v>
      </c>
      <c r="S141" s="14" t="s">
        <v>166</v>
      </c>
      <c r="T141" s="12" t="s">
        <v>1110</v>
      </c>
      <c r="U141" s="14" t="s">
        <v>780</v>
      </c>
      <c r="V141" s="14"/>
      <c r="W141" s="14"/>
      <c r="X141" s="12"/>
      <c r="Y141" s="12"/>
      <c r="Z141" s="14"/>
      <c r="AA141" s="12"/>
      <c r="AB141" s="15"/>
      <c r="AC141" s="16">
        <v>0</v>
      </c>
      <c r="AD141" s="16">
        <v>1</v>
      </c>
      <c r="AE141" s="16">
        <v>0</v>
      </c>
      <c r="AF141" s="16">
        <v>0</v>
      </c>
      <c r="AG141" s="16">
        <v>0</v>
      </c>
      <c r="AH141" s="14" t="s">
        <v>166</v>
      </c>
      <c r="AI141" s="54">
        <v>0</v>
      </c>
      <c r="AJ141" s="54">
        <v>0</v>
      </c>
      <c r="AK141" s="54">
        <v>0</v>
      </c>
      <c r="AL141" s="54">
        <v>1</v>
      </c>
      <c r="AM141" s="54">
        <v>0</v>
      </c>
      <c r="AN141" s="14" t="s">
        <v>166</v>
      </c>
    </row>
    <row r="142" spans="1:40" ht="47.25" x14ac:dyDescent="0.25">
      <c r="A142" s="12" t="s">
        <v>1358</v>
      </c>
      <c r="B142" s="12" t="s">
        <v>1359</v>
      </c>
      <c r="C142" s="12" t="s">
        <v>1133</v>
      </c>
      <c r="D142" s="13" t="s">
        <v>28</v>
      </c>
      <c r="E142" s="13" t="s">
        <v>28</v>
      </c>
      <c r="F142" s="13">
        <v>2368</v>
      </c>
      <c r="G142" s="13" t="s">
        <v>29</v>
      </c>
      <c r="H142" s="13" t="s">
        <v>726</v>
      </c>
      <c r="I142" s="12"/>
      <c r="J142" s="13">
        <v>629930133</v>
      </c>
      <c r="K142" s="13"/>
      <c r="L142" s="13" t="s">
        <v>727</v>
      </c>
      <c r="M142" s="14" t="s">
        <v>1074</v>
      </c>
      <c r="N142" s="13" t="s">
        <v>1069</v>
      </c>
      <c r="O142" s="12"/>
      <c r="P142" s="12" t="s">
        <v>174</v>
      </c>
      <c r="Q142" s="12" t="s">
        <v>868</v>
      </c>
      <c r="R142" s="12" t="s">
        <v>174</v>
      </c>
      <c r="S142" s="14" t="s">
        <v>166</v>
      </c>
      <c r="T142" s="12" t="s">
        <v>1110</v>
      </c>
      <c r="U142" s="14" t="s">
        <v>781</v>
      </c>
      <c r="V142" s="14"/>
      <c r="W142" s="14"/>
      <c r="X142" s="12"/>
      <c r="Y142" s="12"/>
      <c r="Z142" s="14"/>
      <c r="AA142" s="12"/>
      <c r="AB142" s="15"/>
      <c r="AC142" s="16" t="s">
        <v>111</v>
      </c>
      <c r="AD142" s="16">
        <v>0</v>
      </c>
      <c r="AE142" s="16">
        <v>1</v>
      </c>
      <c r="AF142" s="16">
        <v>0</v>
      </c>
      <c r="AG142" s="16">
        <v>0</v>
      </c>
      <c r="AH142" s="14" t="s">
        <v>1149</v>
      </c>
      <c r="AI142" s="54">
        <v>0</v>
      </c>
      <c r="AJ142" s="54">
        <v>0</v>
      </c>
      <c r="AK142" s="54">
        <v>1</v>
      </c>
      <c r="AL142" s="54">
        <v>1</v>
      </c>
      <c r="AM142" s="54">
        <v>0</v>
      </c>
      <c r="AN142" s="14" t="s">
        <v>166</v>
      </c>
    </row>
    <row r="143" spans="1:40" ht="47.25" x14ac:dyDescent="0.25">
      <c r="A143" s="12" t="s">
        <v>1360</v>
      </c>
      <c r="B143" s="12" t="s">
        <v>1361</v>
      </c>
      <c r="C143" s="12" t="s">
        <v>1133</v>
      </c>
      <c r="D143" s="13" t="s">
        <v>30</v>
      </c>
      <c r="E143" s="13" t="s">
        <v>30</v>
      </c>
      <c r="F143" s="13">
        <v>1085</v>
      </c>
      <c r="G143" s="13" t="s">
        <v>31</v>
      </c>
      <c r="H143" s="13" t="s">
        <v>706</v>
      </c>
      <c r="I143" s="12"/>
      <c r="J143" s="13">
        <v>608513183</v>
      </c>
      <c r="K143" s="13"/>
      <c r="L143" s="13" t="s">
        <v>707</v>
      </c>
      <c r="M143" s="14" t="s">
        <v>1073</v>
      </c>
      <c r="N143" s="13" t="s">
        <v>1068</v>
      </c>
      <c r="O143" s="12"/>
      <c r="P143" s="12" t="s">
        <v>174</v>
      </c>
      <c r="Q143" s="12" t="s">
        <v>868</v>
      </c>
      <c r="R143" s="12" t="s">
        <v>174</v>
      </c>
      <c r="S143" s="14" t="s">
        <v>166</v>
      </c>
      <c r="T143" s="12" t="s">
        <v>1110</v>
      </c>
      <c r="U143" s="14" t="s">
        <v>780</v>
      </c>
      <c r="V143" s="14"/>
      <c r="W143" s="14"/>
      <c r="X143" s="12"/>
      <c r="Y143" s="12"/>
      <c r="Z143" s="14"/>
      <c r="AA143" s="12"/>
      <c r="AB143" s="15"/>
      <c r="AC143" s="16" t="s">
        <v>111</v>
      </c>
      <c r="AD143" s="16">
        <v>1</v>
      </c>
      <c r="AE143" s="16">
        <v>0</v>
      </c>
      <c r="AF143" s="16">
        <v>0</v>
      </c>
      <c r="AG143" s="16">
        <v>0</v>
      </c>
      <c r="AH143" s="14" t="s">
        <v>1149</v>
      </c>
      <c r="AI143" s="54">
        <v>0</v>
      </c>
      <c r="AJ143" s="54">
        <v>0</v>
      </c>
      <c r="AK143" s="54">
        <v>0</v>
      </c>
      <c r="AL143" s="54">
        <v>1</v>
      </c>
      <c r="AM143" s="54">
        <v>0</v>
      </c>
      <c r="AN143" s="14" t="s">
        <v>166</v>
      </c>
    </row>
    <row r="144" spans="1:40" ht="47.25" x14ac:dyDescent="0.25">
      <c r="A144" s="12" t="s">
        <v>1360</v>
      </c>
      <c r="B144" s="12" t="s">
        <v>1361</v>
      </c>
      <c r="C144" s="12" t="s">
        <v>1133</v>
      </c>
      <c r="D144" s="13" t="s">
        <v>30</v>
      </c>
      <c r="E144" s="13" t="s">
        <v>30</v>
      </c>
      <c r="F144" s="13">
        <v>1956</v>
      </c>
      <c r="G144" s="13" t="s">
        <v>31</v>
      </c>
      <c r="H144" s="13" t="s">
        <v>685</v>
      </c>
      <c r="I144" s="12"/>
      <c r="J144" s="13">
        <v>620727648</v>
      </c>
      <c r="K144" s="13"/>
      <c r="L144" s="13" t="s">
        <v>686</v>
      </c>
      <c r="M144" s="14" t="s">
        <v>1074</v>
      </c>
      <c r="N144" s="13" t="s">
        <v>1069</v>
      </c>
      <c r="O144" s="12"/>
      <c r="P144" s="12" t="s">
        <v>174</v>
      </c>
      <c r="Q144" s="12" t="s">
        <v>868</v>
      </c>
      <c r="R144" s="12" t="s">
        <v>174</v>
      </c>
      <c r="S144" s="14" t="s">
        <v>166</v>
      </c>
      <c r="T144" s="12" t="s">
        <v>1110</v>
      </c>
      <c r="U144" s="14" t="s">
        <v>781</v>
      </c>
      <c r="V144" s="14"/>
      <c r="W144" s="14"/>
      <c r="X144" s="12"/>
      <c r="Y144" s="12"/>
      <c r="Z144" s="14"/>
      <c r="AA144" s="12"/>
      <c r="AB144" s="15"/>
      <c r="AC144" s="16">
        <v>0</v>
      </c>
      <c r="AD144" s="16">
        <v>0</v>
      </c>
      <c r="AE144" s="16">
        <v>0</v>
      </c>
      <c r="AF144" s="16">
        <v>1</v>
      </c>
      <c r="AG144" s="16">
        <v>0</v>
      </c>
      <c r="AH144" s="14" t="s">
        <v>166</v>
      </c>
      <c r="AI144" s="54">
        <v>0</v>
      </c>
      <c r="AJ144" s="54">
        <v>0</v>
      </c>
      <c r="AK144" s="54">
        <v>0</v>
      </c>
      <c r="AL144" s="54">
        <v>1</v>
      </c>
      <c r="AM144" s="54">
        <v>0</v>
      </c>
      <c r="AN144" s="14" t="s">
        <v>166</v>
      </c>
    </row>
    <row r="145" spans="1:40" ht="47.25" x14ac:dyDescent="0.25">
      <c r="A145" s="12" t="s">
        <v>1360</v>
      </c>
      <c r="B145" s="12" t="s">
        <v>1361</v>
      </c>
      <c r="C145" s="12" t="s">
        <v>1133</v>
      </c>
      <c r="D145" s="13" t="s">
        <v>30</v>
      </c>
      <c r="E145" s="13" t="s">
        <v>30</v>
      </c>
      <c r="F145" s="13">
        <v>1056</v>
      </c>
      <c r="G145" s="13" t="s">
        <v>31</v>
      </c>
      <c r="H145" s="13" t="s">
        <v>690</v>
      </c>
      <c r="I145" s="12"/>
      <c r="J145" s="13">
        <v>618846079</v>
      </c>
      <c r="K145" s="13"/>
      <c r="L145" s="13" t="s">
        <v>691</v>
      </c>
      <c r="M145" s="14" t="s">
        <v>1073</v>
      </c>
      <c r="N145" s="13" t="s">
        <v>1068</v>
      </c>
      <c r="O145" s="12"/>
      <c r="P145" s="12" t="s">
        <v>174</v>
      </c>
      <c r="Q145" s="12" t="s">
        <v>868</v>
      </c>
      <c r="R145" s="12" t="s">
        <v>174</v>
      </c>
      <c r="S145" s="14" t="s">
        <v>166</v>
      </c>
      <c r="T145" s="12" t="s">
        <v>1110</v>
      </c>
      <c r="U145" s="14" t="s">
        <v>780</v>
      </c>
      <c r="V145" s="14"/>
      <c r="W145" s="14"/>
      <c r="X145" s="12"/>
      <c r="Y145" s="12"/>
      <c r="Z145" s="14"/>
      <c r="AA145" s="12"/>
      <c r="AB145" s="15"/>
      <c r="AC145" s="16" t="s">
        <v>111</v>
      </c>
      <c r="AD145" s="16">
        <v>0</v>
      </c>
      <c r="AE145" s="16">
        <v>1</v>
      </c>
      <c r="AF145" s="16">
        <v>0</v>
      </c>
      <c r="AG145" s="16">
        <v>0</v>
      </c>
      <c r="AH145" s="14" t="s">
        <v>1149</v>
      </c>
      <c r="AI145" s="54">
        <v>0</v>
      </c>
      <c r="AJ145" s="54">
        <v>0</v>
      </c>
      <c r="AK145" s="54">
        <v>1</v>
      </c>
      <c r="AL145" s="54">
        <v>1</v>
      </c>
      <c r="AM145" s="54">
        <v>1</v>
      </c>
      <c r="AN145" s="14" t="s">
        <v>166</v>
      </c>
    </row>
    <row r="146" spans="1:40" ht="94.5" x14ac:dyDescent="0.25">
      <c r="A146" s="12" t="s">
        <v>1362</v>
      </c>
      <c r="B146" s="12" t="s">
        <v>1363</v>
      </c>
      <c r="C146" s="12" t="s">
        <v>1133</v>
      </c>
      <c r="D146" s="13" t="s">
        <v>115</v>
      </c>
      <c r="E146" s="13" t="s">
        <v>1015</v>
      </c>
      <c r="F146" s="13">
        <v>1956</v>
      </c>
      <c r="G146" s="13" t="s">
        <v>55</v>
      </c>
      <c r="H146" s="13" t="s">
        <v>685</v>
      </c>
      <c r="I146" s="12"/>
      <c r="J146" s="13">
        <v>620727648</v>
      </c>
      <c r="K146" s="13"/>
      <c r="L146" s="13" t="s">
        <v>686</v>
      </c>
      <c r="M146" s="14" t="s">
        <v>1074</v>
      </c>
      <c r="N146" s="13" t="s">
        <v>1069</v>
      </c>
      <c r="O146" s="12">
        <v>3</v>
      </c>
      <c r="P146" s="12" t="s">
        <v>174</v>
      </c>
      <c r="Q146" s="12" t="s">
        <v>868</v>
      </c>
      <c r="R146" s="12" t="s">
        <v>174</v>
      </c>
      <c r="S146" s="14" t="s">
        <v>166</v>
      </c>
      <c r="T146" s="12" t="s">
        <v>1110</v>
      </c>
      <c r="U146" s="14" t="s">
        <v>781</v>
      </c>
      <c r="V146" s="14"/>
      <c r="W146" s="14"/>
      <c r="X146" s="12"/>
      <c r="Y146" s="12"/>
      <c r="Z146" s="14"/>
      <c r="AA146" s="12"/>
      <c r="AB146" s="15"/>
      <c r="AC146" s="16">
        <v>0</v>
      </c>
      <c r="AD146" s="16">
        <v>0</v>
      </c>
      <c r="AE146" s="16">
        <v>0</v>
      </c>
      <c r="AF146" s="16">
        <v>1</v>
      </c>
      <c r="AG146" s="16">
        <v>0</v>
      </c>
      <c r="AH146" s="14" t="s">
        <v>166</v>
      </c>
      <c r="AI146" s="54">
        <v>0</v>
      </c>
      <c r="AJ146" s="54">
        <v>0</v>
      </c>
      <c r="AK146" s="54">
        <v>0</v>
      </c>
      <c r="AL146" s="54">
        <v>1</v>
      </c>
      <c r="AM146" s="54">
        <v>0</v>
      </c>
      <c r="AN146" s="14" t="s">
        <v>166</v>
      </c>
    </row>
    <row r="147" spans="1:40" ht="94.5" x14ac:dyDescent="0.25">
      <c r="A147" s="12" t="s">
        <v>1364</v>
      </c>
      <c r="B147" s="12" t="s">
        <v>1365</v>
      </c>
      <c r="C147" s="12" t="s">
        <v>1133</v>
      </c>
      <c r="D147" s="13" t="s">
        <v>115</v>
      </c>
      <c r="E147" s="13" t="s">
        <v>996</v>
      </c>
      <c r="F147" s="13">
        <v>2368</v>
      </c>
      <c r="G147" s="13" t="s">
        <v>55</v>
      </c>
      <c r="H147" s="13" t="s">
        <v>726</v>
      </c>
      <c r="I147" s="12"/>
      <c r="J147" s="13">
        <v>629930133</v>
      </c>
      <c r="K147" s="13"/>
      <c r="L147" s="13" t="s">
        <v>727</v>
      </c>
      <c r="M147" s="14" t="s">
        <v>1074</v>
      </c>
      <c r="N147" s="13" t="s">
        <v>1069</v>
      </c>
      <c r="O147" s="12">
        <v>3</v>
      </c>
      <c r="P147" s="12" t="s">
        <v>174</v>
      </c>
      <c r="Q147" s="12" t="s">
        <v>868</v>
      </c>
      <c r="R147" s="12" t="s">
        <v>174</v>
      </c>
      <c r="S147" s="14" t="s">
        <v>166</v>
      </c>
      <c r="T147" s="12" t="s">
        <v>1110</v>
      </c>
      <c r="U147" s="14" t="s">
        <v>781</v>
      </c>
      <c r="V147" s="14"/>
      <c r="W147" s="14"/>
      <c r="X147" s="12"/>
      <c r="Y147" s="12"/>
      <c r="Z147" s="14"/>
      <c r="AA147" s="12"/>
      <c r="AB147" s="15"/>
      <c r="AC147" s="16">
        <v>0</v>
      </c>
      <c r="AD147" s="16">
        <v>0</v>
      </c>
      <c r="AE147" s="16">
        <v>1</v>
      </c>
      <c r="AF147" s="16">
        <v>0</v>
      </c>
      <c r="AG147" s="16">
        <v>0</v>
      </c>
      <c r="AH147" s="14" t="s">
        <v>166</v>
      </c>
      <c r="AI147" s="54">
        <v>0</v>
      </c>
      <c r="AJ147" s="54">
        <v>0</v>
      </c>
      <c r="AK147" s="54">
        <v>1</v>
      </c>
      <c r="AL147" s="54">
        <v>1</v>
      </c>
      <c r="AM147" s="54">
        <v>0</v>
      </c>
      <c r="AN147" s="14" t="s">
        <v>166</v>
      </c>
    </row>
    <row r="148" spans="1:40" ht="94.5" x14ac:dyDescent="0.25">
      <c r="A148" s="12" t="s">
        <v>1364</v>
      </c>
      <c r="B148" s="12" t="s">
        <v>1365</v>
      </c>
      <c r="C148" s="12" t="s">
        <v>1133</v>
      </c>
      <c r="D148" s="13" t="s">
        <v>115</v>
      </c>
      <c r="E148" s="13" t="s">
        <v>996</v>
      </c>
      <c r="F148" s="13">
        <v>2337</v>
      </c>
      <c r="G148" s="13" t="s">
        <v>55</v>
      </c>
      <c r="H148" s="13" t="s">
        <v>732</v>
      </c>
      <c r="I148" s="12"/>
      <c r="J148" s="13">
        <v>638037300</v>
      </c>
      <c r="K148" s="13"/>
      <c r="L148" s="13" t="s">
        <v>733</v>
      </c>
      <c r="M148" s="14" t="s">
        <v>1117</v>
      </c>
      <c r="N148" s="13" t="s">
        <v>1108</v>
      </c>
      <c r="O148" s="12" t="s">
        <v>53</v>
      </c>
      <c r="P148" s="12" t="s">
        <v>174</v>
      </c>
      <c r="Q148" s="12" t="s">
        <v>868</v>
      </c>
      <c r="R148" s="12" t="s">
        <v>174</v>
      </c>
      <c r="S148" s="14" t="s">
        <v>166</v>
      </c>
      <c r="T148" s="12" t="s">
        <v>1110</v>
      </c>
      <c r="U148" s="14" t="s">
        <v>1326</v>
      </c>
      <c r="V148" s="14"/>
      <c r="W148" s="14"/>
      <c r="X148" s="12"/>
      <c r="Y148" s="12"/>
      <c r="Z148" s="14"/>
      <c r="AA148" s="12"/>
      <c r="AB148" s="15"/>
      <c r="AC148" s="16">
        <v>0</v>
      </c>
      <c r="AD148" s="16">
        <v>0</v>
      </c>
      <c r="AE148" s="16">
        <v>0</v>
      </c>
      <c r="AF148" s="16">
        <v>1</v>
      </c>
      <c r="AG148" s="16">
        <v>0</v>
      </c>
      <c r="AH148" s="14" t="s">
        <v>166</v>
      </c>
      <c r="AI148" s="54">
        <v>0</v>
      </c>
      <c r="AJ148" s="54">
        <v>0</v>
      </c>
      <c r="AK148" s="54">
        <v>0</v>
      </c>
      <c r="AL148" s="54">
        <v>1</v>
      </c>
      <c r="AM148" s="54">
        <v>0</v>
      </c>
      <c r="AN148" s="14" t="s">
        <v>166</v>
      </c>
    </row>
    <row r="149" spans="1:40" ht="94.5" x14ac:dyDescent="0.25">
      <c r="A149" s="12" t="s">
        <v>1364</v>
      </c>
      <c r="B149" s="12" t="s">
        <v>1365</v>
      </c>
      <c r="C149" s="12" t="s">
        <v>1133</v>
      </c>
      <c r="D149" s="13" t="s">
        <v>115</v>
      </c>
      <c r="E149" s="13" t="s">
        <v>996</v>
      </c>
      <c r="F149" s="13">
        <v>2320</v>
      </c>
      <c r="G149" s="13" t="s">
        <v>55</v>
      </c>
      <c r="H149" s="13" t="s">
        <v>748</v>
      </c>
      <c r="I149" s="12"/>
      <c r="J149" s="13">
        <v>618730464</v>
      </c>
      <c r="K149" s="13"/>
      <c r="L149" s="13" t="s">
        <v>749</v>
      </c>
      <c r="M149" s="14" t="s">
        <v>157</v>
      </c>
      <c r="N149" s="13" t="s">
        <v>156</v>
      </c>
      <c r="O149" s="12">
        <v>3</v>
      </c>
      <c r="P149" s="12" t="s">
        <v>174</v>
      </c>
      <c r="Q149" s="12" t="s">
        <v>868</v>
      </c>
      <c r="R149" s="12" t="s">
        <v>174</v>
      </c>
      <c r="S149" s="14" t="s">
        <v>166</v>
      </c>
      <c r="T149" s="12" t="s">
        <v>1110</v>
      </c>
      <c r="U149" s="14" t="s">
        <v>1111</v>
      </c>
      <c r="V149" s="14"/>
      <c r="W149" s="14"/>
      <c r="X149" s="12"/>
      <c r="Y149" s="12"/>
      <c r="Z149" s="14"/>
      <c r="AA149" s="12"/>
      <c r="AB149" s="15"/>
      <c r="AC149" s="16">
        <v>0</v>
      </c>
      <c r="AD149" s="16">
        <v>0</v>
      </c>
      <c r="AE149" s="16">
        <v>0</v>
      </c>
      <c r="AF149" s="16">
        <v>1</v>
      </c>
      <c r="AG149" s="16">
        <v>0</v>
      </c>
      <c r="AH149" s="14" t="s">
        <v>166</v>
      </c>
      <c r="AI149" s="54">
        <v>0</v>
      </c>
      <c r="AJ149" s="54">
        <v>0</v>
      </c>
      <c r="AK149" s="54">
        <v>0</v>
      </c>
      <c r="AL149" s="54">
        <v>1</v>
      </c>
      <c r="AM149" s="54">
        <v>0</v>
      </c>
      <c r="AN149" s="14" t="s">
        <v>166</v>
      </c>
    </row>
    <row r="150" spans="1:40" ht="94.5" x14ac:dyDescent="0.25">
      <c r="A150" s="12" t="s">
        <v>1364</v>
      </c>
      <c r="B150" s="12" t="s">
        <v>1365</v>
      </c>
      <c r="C150" s="12" t="s">
        <v>1133</v>
      </c>
      <c r="D150" s="13" t="s">
        <v>115</v>
      </c>
      <c r="E150" s="13" t="s">
        <v>996</v>
      </c>
      <c r="F150" s="13">
        <v>1101</v>
      </c>
      <c r="G150" s="13" t="s">
        <v>55</v>
      </c>
      <c r="H150" s="13" t="s">
        <v>752</v>
      </c>
      <c r="I150" s="12"/>
      <c r="J150" s="13">
        <v>628675706</v>
      </c>
      <c r="K150" s="13"/>
      <c r="L150" s="13" t="s">
        <v>753</v>
      </c>
      <c r="M150" s="14" t="s">
        <v>1073</v>
      </c>
      <c r="N150" s="13" t="s">
        <v>1068</v>
      </c>
      <c r="O150" s="12" t="s">
        <v>53</v>
      </c>
      <c r="P150" s="12" t="s">
        <v>174</v>
      </c>
      <c r="Q150" s="12" t="s">
        <v>868</v>
      </c>
      <c r="R150" s="12" t="s">
        <v>174</v>
      </c>
      <c r="S150" s="14" t="s">
        <v>166</v>
      </c>
      <c r="T150" s="12" t="s">
        <v>1110</v>
      </c>
      <c r="U150" s="14" t="s">
        <v>780</v>
      </c>
      <c r="V150" s="14"/>
      <c r="W150" s="14"/>
      <c r="X150" s="12"/>
      <c r="Y150" s="12"/>
      <c r="Z150" s="14"/>
      <c r="AA150" s="12"/>
      <c r="AB150" s="15"/>
      <c r="AC150" s="16">
        <v>0</v>
      </c>
      <c r="AD150" s="16">
        <v>0</v>
      </c>
      <c r="AE150" s="16">
        <v>1</v>
      </c>
      <c r="AF150" s="16">
        <v>0</v>
      </c>
      <c r="AG150" s="16">
        <v>0</v>
      </c>
      <c r="AH150" s="14" t="s">
        <v>166</v>
      </c>
      <c r="AI150" s="54">
        <v>0</v>
      </c>
      <c r="AJ150" s="54">
        <v>0</v>
      </c>
      <c r="AK150" s="54">
        <v>1</v>
      </c>
      <c r="AL150" s="54">
        <v>0</v>
      </c>
      <c r="AM150" s="54">
        <v>0</v>
      </c>
      <c r="AN150" s="14" t="s">
        <v>166</v>
      </c>
    </row>
    <row r="151" spans="1:40" ht="94.5" x14ac:dyDescent="0.25">
      <c r="A151" s="12" t="s">
        <v>1364</v>
      </c>
      <c r="B151" s="12" t="s">
        <v>1365</v>
      </c>
      <c r="C151" s="12" t="s">
        <v>1133</v>
      </c>
      <c r="D151" s="13" t="s">
        <v>115</v>
      </c>
      <c r="E151" s="13" t="s">
        <v>996</v>
      </c>
      <c r="F151" s="13">
        <v>2382</v>
      </c>
      <c r="G151" s="13" t="s">
        <v>55</v>
      </c>
      <c r="H151" s="13" t="s">
        <v>763</v>
      </c>
      <c r="I151" s="12"/>
      <c r="J151" s="13">
        <v>606393510</v>
      </c>
      <c r="K151" s="13"/>
      <c r="L151" s="13" t="s">
        <v>764</v>
      </c>
      <c r="M151" s="14" t="s">
        <v>1074</v>
      </c>
      <c r="N151" s="13" t="s">
        <v>1069</v>
      </c>
      <c r="O151" s="12" t="s">
        <v>53</v>
      </c>
      <c r="P151" s="12" t="s">
        <v>174</v>
      </c>
      <c r="Q151" s="12" t="s">
        <v>868</v>
      </c>
      <c r="R151" s="12" t="s">
        <v>174</v>
      </c>
      <c r="S151" s="14" t="s">
        <v>166</v>
      </c>
      <c r="T151" s="12" t="s">
        <v>1110</v>
      </c>
      <c r="U151" s="14" t="s">
        <v>781</v>
      </c>
      <c r="V151" s="14"/>
      <c r="W151" s="14"/>
      <c r="X151" s="12"/>
      <c r="Y151" s="12"/>
      <c r="Z151" s="14"/>
      <c r="AA151" s="12"/>
      <c r="AB151" s="15"/>
      <c r="AC151" s="16">
        <v>1</v>
      </c>
      <c r="AD151" s="16">
        <v>1</v>
      </c>
      <c r="AE151" s="16">
        <v>0</v>
      </c>
      <c r="AF151" s="16">
        <v>0</v>
      </c>
      <c r="AG151" s="16">
        <v>0</v>
      </c>
      <c r="AH151" s="14" t="s">
        <v>166</v>
      </c>
      <c r="AI151" s="54">
        <v>0</v>
      </c>
      <c r="AJ151" s="54">
        <v>1</v>
      </c>
      <c r="AK151" s="54">
        <v>0</v>
      </c>
      <c r="AL151" s="54">
        <v>0</v>
      </c>
      <c r="AM151" s="54">
        <v>0</v>
      </c>
      <c r="AN151" s="14" t="s">
        <v>166</v>
      </c>
    </row>
    <row r="152" spans="1:40" ht="94.5" x14ac:dyDescent="0.25">
      <c r="A152" s="12" t="s">
        <v>1364</v>
      </c>
      <c r="B152" s="12" t="s">
        <v>1365</v>
      </c>
      <c r="C152" s="12" t="s">
        <v>1133</v>
      </c>
      <c r="D152" s="13" t="s">
        <v>115</v>
      </c>
      <c r="E152" s="13" t="s">
        <v>996</v>
      </c>
      <c r="F152" s="13">
        <v>2455</v>
      </c>
      <c r="G152" s="13" t="s">
        <v>55</v>
      </c>
      <c r="H152" s="13" t="s">
        <v>728</v>
      </c>
      <c r="I152" s="12"/>
      <c r="J152" s="13">
        <v>609026450</v>
      </c>
      <c r="K152" s="13"/>
      <c r="L152" s="13" t="s">
        <v>729</v>
      </c>
      <c r="M152" s="14" t="s">
        <v>1117</v>
      </c>
      <c r="N152" s="13" t="s">
        <v>1108</v>
      </c>
      <c r="O152" s="12" t="s">
        <v>53</v>
      </c>
      <c r="P152" s="12" t="s">
        <v>174</v>
      </c>
      <c r="Q152" s="12" t="s">
        <v>868</v>
      </c>
      <c r="R152" s="12" t="s">
        <v>174</v>
      </c>
      <c r="S152" s="14" t="s">
        <v>166</v>
      </c>
      <c r="T152" s="12" t="s">
        <v>1110</v>
      </c>
      <c r="U152" s="14" t="s">
        <v>1326</v>
      </c>
      <c r="V152" s="14"/>
      <c r="W152" s="14"/>
      <c r="X152" s="12"/>
      <c r="Y152" s="12"/>
      <c r="Z152" s="14"/>
      <c r="AA152" s="12"/>
      <c r="AB152" s="15"/>
      <c r="AC152" s="16">
        <v>0</v>
      </c>
      <c r="AD152" s="16">
        <v>0</v>
      </c>
      <c r="AE152" s="16">
        <v>0</v>
      </c>
      <c r="AF152" s="16">
        <v>1</v>
      </c>
      <c r="AG152" s="16">
        <v>0</v>
      </c>
      <c r="AH152" s="14" t="s">
        <v>166</v>
      </c>
      <c r="AI152" s="54">
        <v>0</v>
      </c>
      <c r="AJ152" s="54">
        <v>0</v>
      </c>
      <c r="AK152" s="54">
        <v>0</v>
      </c>
      <c r="AL152" s="54">
        <v>1</v>
      </c>
      <c r="AM152" s="54">
        <v>0</v>
      </c>
      <c r="AN152" s="14" t="s">
        <v>166</v>
      </c>
    </row>
    <row r="153" spans="1:40" ht="94.5" x14ac:dyDescent="0.25">
      <c r="A153" s="12" t="s">
        <v>1364</v>
      </c>
      <c r="B153" s="12" t="s">
        <v>1365</v>
      </c>
      <c r="C153" s="12" t="s">
        <v>1133</v>
      </c>
      <c r="D153" s="13" t="s">
        <v>115</v>
      </c>
      <c r="E153" s="13" t="s">
        <v>996</v>
      </c>
      <c r="F153" s="13">
        <v>2468</v>
      </c>
      <c r="G153" s="13" t="s">
        <v>55</v>
      </c>
      <c r="H153" s="13" t="s">
        <v>738</v>
      </c>
      <c r="I153" s="12"/>
      <c r="J153" s="13">
        <v>660551344</v>
      </c>
      <c r="K153" s="13"/>
      <c r="L153" s="13" t="s">
        <v>739</v>
      </c>
      <c r="M153" s="14" t="s">
        <v>153</v>
      </c>
      <c r="N153" s="13" t="s">
        <v>152</v>
      </c>
      <c r="O153" s="12" t="s">
        <v>53</v>
      </c>
      <c r="P153" s="12" t="s">
        <v>174</v>
      </c>
      <c r="Q153" s="12" t="s">
        <v>868</v>
      </c>
      <c r="R153" s="12" t="s">
        <v>174</v>
      </c>
      <c r="S153" s="14" t="s">
        <v>166</v>
      </c>
      <c r="T153" s="12" t="s">
        <v>1110</v>
      </c>
      <c r="U153" s="14" t="s">
        <v>782</v>
      </c>
      <c r="V153" s="14"/>
      <c r="W153" s="14"/>
      <c r="X153" s="12"/>
      <c r="Y153" s="12"/>
      <c r="Z153" s="14"/>
      <c r="AA153" s="12"/>
      <c r="AB153" s="15"/>
      <c r="AC153" s="16">
        <v>0</v>
      </c>
      <c r="AD153" s="16">
        <v>0</v>
      </c>
      <c r="AE153" s="16">
        <v>1</v>
      </c>
      <c r="AF153" s="16">
        <v>0</v>
      </c>
      <c r="AG153" s="16">
        <v>0</v>
      </c>
      <c r="AH153" s="14" t="s">
        <v>166</v>
      </c>
      <c r="AI153" s="54">
        <v>0</v>
      </c>
      <c r="AJ153" s="54">
        <v>0</v>
      </c>
      <c r="AK153" s="54">
        <v>1</v>
      </c>
      <c r="AL153" s="54">
        <v>0</v>
      </c>
      <c r="AM153" s="54">
        <v>0</v>
      </c>
      <c r="AN153" s="14" t="s">
        <v>166</v>
      </c>
    </row>
    <row r="154" spans="1:40" ht="94.5" x14ac:dyDescent="0.25">
      <c r="A154" s="12" t="s">
        <v>1364</v>
      </c>
      <c r="B154" s="12" t="s">
        <v>1365</v>
      </c>
      <c r="C154" s="12" t="s">
        <v>1133</v>
      </c>
      <c r="D154" s="13" t="s">
        <v>115</v>
      </c>
      <c r="E154" s="13" t="s">
        <v>996</v>
      </c>
      <c r="F154" s="13">
        <v>2302</v>
      </c>
      <c r="G154" s="13" t="s">
        <v>55</v>
      </c>
      <c r="H154" s="13" t="s">
        <v>734</v>
      </c>
      <c r="I154" s="12"/>
      <c r="J154" s="13">
        <v>619199068</v>
      </c>
      <c r="K154" s="13"/>
      <c r="L154" s="13" t="s">
        <v>735</v>
      </c>
      <c r="M154" s="14" t="s">
        <v>153</v>
      </c>
      <c r="N154" s="13" t="s">
        <v>152</v>
      </c>
      <c r="O154" s="12" t="s">
        <v>53</v>
      </c>
      <c r="P154" s="12" t="s">
        <v>174</v>
      </c>
      <c r="Q154" s="12" t="s">
        <v>868</v>
      </c>
      <c r="R154" s="12" t="s">
        <v>174</v>
      </c>
      <c r="S154" s="14" t="s">
        <v>166</v>
      </c>
      <c r="T154" s="12" t="s">
        <v>1110</v>
      </c>
      <c r="U154" s="14" t="s">
        <v>782</v>
      </c>
      <c r="V154" s="14"/>
      <c r="W154" s="14"/>
      <c r="X154" s="12"/>
      <c r="Y154" s="12"/>
      <c r="Z154" s="14"/>
      <c r="AA154" s="12"/>
      <c r="AB154" s="15"/>
      <c r="AC154" s="16">
        <v>0</v>
      </c>
      <c r="AD154" s="16">
        <v>0</v>
      </c>
      <c r="AE154" s="16">
        <v>1</v>
      </c>
      <c r="AF154" s="16">
        <v>0</v>
      </c>
      <c r="AG154" s="16">
        <v>0</v>
      </c>
      <c r="AH154" s="14" t="s">
        <v>166</v>
      </c>
      <c r="AI154" s="54">
        <v>0</v>
      </c>
      <c r="AJ154" s="54">
        <v>0</v>
      </c>
      <c r="AK154" s="54">
        <v>1</v>
      </c>
      <c r="AL154" s="54">
        <v>0</v>
      </c>
      <c r="AM154" s="54">
        <v>0</v>
      </c>
      <c r="AN154" s="14" t="s">
        <v>166</v>
      </c>
    </row>
    <row r="155" spans="1:40" ht="94.5" x14ac:dyDescent="0.25">
      <c r="A155" s="12" t="s">
        <v>1364</v>
      </c>
      <c r="B155" s="12" t="s">
        <v>1365</v>
      </c>
      <c r="C155" s="12" t="s">
        <v>1133</v>
      </c>
      <c r="D155" s="13" t="s">
        <v>115</v>
      </c>
      <c r="E155" s="13" t="s">
        <v>996</v>
      </c>
      <c r="F155" s="13">
        <v>3233</v>
      </c>
      <c r="G155" s="13" t="s">
        <v>55</v>
      </c>
      <c r="H155" s="13" t="s">
        <v>744</v>
      </c>
      <c r="I155" s="12"/>
      <c r="J155" s="13">
        <v>618610523</v>
      </c>
      <c r="K155" s="13"/>
      <c r="L155" s="13" t="s">
        <v>745</v>
      </c>
      <c r="M155" s="14" t="s">
        <v>153</v>
      </c>
      <c r="N155" s="13" t="s">
        <v>152</v>
      </c>
      <c r="O155" s="12" t="s">
        <v>53</v>
      </c>
      <c r="P155" s="12" t="s">
        <v>174</v>
      </c>
      <c r="Q155" s="12" t="s">
        <v>868</v>
      </c>
      <c r="R155" s="12" t="s">
        <v>174</v>
      </c>
      <c r="S155" s="14" t="s">
        <v>166</v>
      </c>
      <c r="T155" s="12" t="s">
        <v>1110</v>
      </c>
      <c r="U155" s="14" t="s">
        <v>782</v>
      </c>
      <c r="V155" s="14"/>
      <c r="W155" s="14"/>
      <c r="X155" s="12"/>
      <c r="Y155" s="12"/>
      <c r="Z155" s="14"/>
      <c r="AA155" s="12"/>
      <c r="AB155" s="15"/>
      <c r="AC155" s="16">
        <v>0</v>
      </c>
      <c r="AD155" s="16">
        <v>0</v>
      </c>
      <c r="AE155" s="16">
        <v>1</v>
      </c>
      <c r="AF155" s="16">
        <v>0</v>
      </c>
      <c r="AG155" s="16">
        <v>0</v>
      </c>
      <c r="AH155" s="14" t="s">
        <v>166</v>
      </c>
      <c r="AI155" s="54">
        <v>0</v>
      </c>
      <c r="AJ155" s="54">
        <v>0</v>
      </c>
      <c r="AK155" s="54">
        <v>1</v>
      </c>
      <c r="AL155" s="54">
        <v>0</v>
      </c>
      <c r="AM155" s="54">
        <v>0</v>
      </c>
      <c r="AN155" s="14" t="s">
        <v>166</v>
      </c>
    </row>
    <row r="156" spans="1:40" ht="94.5" x14ac:dyDescent="0.25">
      <c r="A156" s="12" t="s">
        <v>1364</v>
      </c>
      <c r="B156" s="12" t="s">
        <v>1365</v>
      </c>
      <c r="C156" s="12" t="s">
        <v>1133</v>
      </c>
      <c r="D156" s="13" t="s">
        <v>115</v>
      </c>
      <c r="E156" s="13" t="s">
        <v>996</v>
      </c>
      <c r="F156" s="13">
        <v>1792</v>
      </c>
      <c r="G156" s="13" t="s">
        <v>55</v>
      </c>
      <c r="H156" s="13" t="s">
        <v>742</v>
      </c>
      <c r="I156" s="12"/>
      <c r="J156" s="13">
        <v>608159141</v>
      </c>
      <c r="K156" s="13"/>
      <c r="L156" s="13" t="s">
        <v>743</v>
      </c>
      <c r="M156" s="14" t="s">
        <v>163</v>
      </c>
      <c r="N156" s="13" t="s">
        <v>162</v>
      </c>
      <c r="O156" s="12" t="s">
        <v>53</v>
      </c>
      <c r="P156" s="12" t="s">
        <v>174</v>
      </c>
      <c r="Q156" s="12" t="s">
        <v>868</v>
      </c>
      <c r="R156" s="12" t="s">
        <v>174</v>
      </c>
      <c r="S156" s="14" t="s">
        <v>166</v>
      </c>
      <c r="T156" s="12" t="s">
        <v>1110</v>
      </c>
      <c r="U156" s="14" t="s">
        <v>1366</v>
      </c>
      <c r="V156" s="14"/>
      <c r="W156" s="14"/>
      <c r="X156" s="12"/>
      <c r="Y156" s="12"/>
      <c r="Z156" s="14"/>
      <c r="AA156" s="12"/>
      <c r="AB156" s="15"/>
      <c r="AC156" s="16">
        <v>0</v>
      </c>
      <c r="AD156" s="16">
        <v>0</v>
      </c>
      <c r="AE156" s="16">
        <v>0</v>
      </c>
      <c r="AF156" s="16">
        <v>1</v>
      </c>
      <c r="AG156" s="16">
        <v>0</v>
      </c>
      <c r="AH156" s="14" t="s">
        <v>166</v>
      </c>
      <c r="AI156" s="54">
        <v>0</v>
      </c>
      <c r="AJ156" s="54">
        <v>0</v>
      </c>
      <c r="AK156" s="54">
        <v>0</v>
      </c>
      <c r="AL156" s="54">
        <v>1</v>
      </c>
      <c r="AM156" s="54">
        <v>0</v>
      </c>
      <c r="AN156" s="14" t="s">
        <v>166</v>
      </c>
    </row>
    <row r="157" spans="1:40" ht="94.5" x14ac:dyDescent="0.25">
      <c r="A157" s="12" t="s">
        <v>1364</v>
      </c>
      <c r="B157" s="12" t="s">
        <v>1365</v>
      </c>
      <c r="C157" s="12" t="s">
        <v>1133</v>
      </c>
      <c r="D157" s="13" t="s">
        <v>115</v>
      </c>
      <c r="E157" s="13" t="s">
        <v>996</v>
      </c>
      <c r="F157" s="13">
        <v>2330</v>
      </c>
      <c r="G157" s="13" t="s">
        <v>55</v>
      </c>
      <c r="H157" s="13" t="s">
        <v>754</v>
      </c>
      <c r="I157" s="12"/>
      <c r="J157" s="13">
        <v>676745703</v>
      </c>
      <c r="K157" s="13"/>
      <c r="L157" s="13" t="s">
        <v>755</v>
      </c>
      <c r="M157" s="14" t="s">
        <v>1075</v>
      </c>
      <c r="N157" s="13" t="s">
        <v>1070</v>
      </c>
      <c r="O157" s="12" t="s">
        <v>53</v>
      </c>
      <c r="P157" s="12" t="s">
        <v>174</v>
      </c>
      <c r="Q157" s="12" t="s">
        <v>868</v>
      </c>
      <c r="R157" s="12" t="s">
        <v>174</v>
      </c>
      <c r="S157" s="14" t="s">
        <v>166</v>
      </c>
      <c r="T157" s="12" t="s">
        <v>1110</v>
      </c>
      <c r="U157" s="14" t="s">
        <v>1067</v>
      </c>
      <c r="V157" s="14"/>
      <c r="W157" s="14"/>
      <c r="X157" s="12"/>
      <c r="Y157" s="12"/>
      <c r="Z157" s="14"/>
      <c r="AA157" s="12"/>
      <c r="AB157" s="15"/>
      <c r="AC157" s="16">
        <v>0</v>
      </c>
      <c r="AD157" s="16">
        <v>0</v>
      </c>
      <c r="AE157" s="16">
        <v>0</v>
      </c>
      <c r="AF157" s="16">
        <v>1</v>
      </c>
      <c r="AG157" s="16">
        <v>0</v>
      </c>
      <c r="AH157" s="14" t="s">
        <v>166</v>
      </c>
      <c r="AI157" s="54">
        <v>0</v>
      </c>
      <c r="AJ157" s="54">
        <v>0</v>
      </c>
      <c r="AK157" s="54">
        <v>0</v>
      </c>
      <c r="AL157" s="54">
        <v>1</v>
      </c>
      <c r="AM157" s="54">
        <v>0</v>
      </c>
      <c r="AN157" s="14" t="s">
        <v>166</v>
      </c>
    </row>
    <row r="158" spans="1:40" ht="94.5" x14ac:dyDescent="0.25">
      <c r="A158" s="12" t="s">
        <v>1364</v>
      </c>
      <c r="B158" s="12" t="s">
        <v>1365</v>
      </c>
      <c r="C158" s="12" t="s">
        <v>1133</v>
      </c>
      <c r="D158" s="13" t="s">
        <v>115</v>
      </c>
      <c r="E158" s="13" t="s">
        <v>996</v>
      </c>
      <c r="F158" s="13">
        <v>3227</v>
      </c>
      <c r="G158" s="13" t="s">
        <v>55</v>
      </c>
      <c r="H158" s="13" t="s">
        <v>756</v>
      </c>
      <c r="I158" s="12"/>
      <c r="J158" s="13">
        <v>646273581</v>
      </c>
      <c r="K158" s="13"/>
      <c r="L158" s="13" t="s">
        <v>757</v>
      </c>
      <c r="M158" s="14" t="s">
        <v>1074</v>
      </c>
      <c r="N158" s="13" t="s">
        <v>1069</v>
      </c>
      <c r="O158" s="12" t="s">
        <v>53</v>
      </c>
      <c r="P158" s="12" t="s">
        <v>174</v>
      </c>
      <c r="Q158" s="12" t="s">
        <v>868</v>
      </c>
      <c r="R158" s="12" t="s">
        <v>174</v>
      </c>
      <c r="S158" s="14" t="s">
        <v>166</v>
      </c>
      <c r="T158" s="12" t="s">
        <v>1110</v>
      </c>
      <c r="U158" s="14" t="s">
        <v>781</v>
      </c>
      <c r="V158" s="14"/>
      <c r="W158" s="14"/>
      <c r="X158" s="12"/>
      <c r="Y158" s="12"/>
      <c r="Z158" s="14"/>
      <c r="AA158" s="12"/>
      <c r="AB158" s="15"/>
      <c r="AC158" s="16">
        <v>0</v>
      </c>
      <c r="AD158" s="16">
        <v>0</v>
      </c>
      <c r="AE158" s="16">
        <v>1</v>
      </c>
      <c r="AF158" s="16">
        <v>0</v>
      </c>
      <c r="AG158" s="16">
        <v>0</v>
      </c>
      <c r="AH158" s="14" t="s">
        <v>166</v>
      </c>
      <c r="AI158" s="54">
        <v>0</v>
      </c>
      <c r="AJ158" s="54">
        <v>0</v>
      </c>
      <c r="AK158" s="54">
        <v>1</v>
      </c>
      <c r="AL158" s="54">
        <v>0</v>
      </c>
      <c r="AM158" s="54">
        <v>0</v>
      </c>
      <c r="AN158" s="14" t="s">
        <v>166</v>
      </c>
    </row>
    <row r="159" spans="1:40" ht="94.5" x14ac:dyDescent="0.25">
      <c r="A159" s="12" t="s">
        <v>1367</v>
      </c>
      <c r="B159" s="12" t="s">
        <v>1368</v>
      </c>
      <c r="C159" s="12" t="s">
        <v>1133</v>
      </c>
      <c r="D159" s="13" t="s">
        <v>115</v>
      </c>
      <c r="E159" s="13" t="s">
        <v>997</v>
      </c>
      <c r="F159" s="13">
        <v>1085</v>
      </c>
      <c r="G159" s="13" t="s">
        <v>55</v>
      </c>
      <c r="H159" s="13" t="s">
        <v>706</v>
      </c>
      <c r="I159" s="12"/>
      <c r="J159" s="13">
        <v>608513183</v>
      </c>
      <c r="K159" s="13"/>
      <c r="L159" s="13" t="s">
        <v>707</v>
      </c>
      <c r="M159" s="14" t="s">
        <v>1073</v>
      </c>
      <c r="N159" s="13" t="s">
        <v>1068</v>
      </c>
      <c r="O159" s="12" t="s">
        <v>53</v>
      </c>
      <c r="P159" s="12" t="s">
        <v>174</v>
      </c>
      <c r="Q159" s="12" t="s">
        <v>868</v>
      </c>
      <c r="R159" s="12" t="s">
        <v>174</v>
      </c>
      <c r="S159" s="14" t="s">
        <v>166</v>
      </c>
      <c r="T159" s="12" t="s">
        <v>1110</v>
      </c>
      <c r="U159" s="14" t="s">
        <v>780</v>
      </c>
      <c r="V159" s="14"/>
      <c r="W159" s="14"/>
      <c r="X159" s="12"/>
      <c r="Y159" s="12"/>
      <c r="Z159" s="14"/>
      <c r="AA159" s="12"/>
      <c r="AB159" s="15"/>
      <c r="AC159" s="16">
        <v>1</v>
      </c>
      <c r="AD159" s="16">
        <v>1</v>
      </c>
      <c r="AE159" s="16">
        <v>0</v>
      </c>
      <c r="AF159" s="16">
        <v>0</v>
      </c>
      <c r="AG159" s="16">
        <v>0</v>
      </c>
      <c r="AH159" s="14" t="s">
        <v>166</v>
      </c>
      <c r="AI159" s="54">
        <v>0</v>
      </c>
      <c r="AJ159" s="54">
        <v>0</v>
      </c>
      <c r="AK159" s="54">
        <v>0</v>
      </c>
      <c r="AL159" s="54">
        <v>1</v>
      </c>
      <c r="AM159" s="54">
        <v>0</v>
      </c>
      <c r="AN159" s="14" t="s">
        <v>166</v>
      </c>
    </row>
    <row r="160" spans="1:40" ht="94.5" x14ac:dyDescent="0.25">
      <c r="A160" s="12" t="s">
        <v>1367</v>
      </c>
      <c r="B160" s="12" t="s">
        <v>1368</v>
      </c>
      <c r="C160" s="12" t="s">
        <v>1133</v>
      </c>
      <c r="D160" s="13" t="s">
        <v>115</v>
      </c>
      <c r="E160" s="13" t="s">
        <v>997</v>
      </c>
      <c r="F160" s="13">
        <v>1168</v>
      </c>
      <c r="G160" s="13" t="s">
        <v>55</v>
      </c>
      <c r="H160" s="13" t="s">
        <v>698</v>
      </c>
      <c r="I160" s="12"/>
      <c r="J160" s="13">
        <v>638145830</v>
      </c>
      <c r="K160" s="13"/>
      <c r="L160" s="13" t="s">
        <v>699</v>
      </c>
      <c r="M160" s="14" t="s">
        <v>1116</v>
      </c>
      <c r="N160" s="13" t="s">
        <v>1107</v>
      </c>
      <c r="O160" s="12" t="s">
        <v>53</v>
      </c>
      <c r="P160" s="12" t="s">
        <v>174</v>
      </c>
      <c r="Q160" s="12" t="s">
        <v>868</v>
      </c>
      <c r="R160" s="12" t="s">
        <v>174</v>
      </c>
      <c r="S160" s="14" t="s">
        <v>166</v>
      </c>
      <c r="T160" s="12" t="s">
        <v>1110</v>
      </c>
      <c r="U160" s="14" t="s">
        <v>1078</v>
      </c>
      <c r="V160" s="14"/>
      <c r="W160" s="14"/>
      <c r="X160" s="12"/>
      <c r="Y160" s="12"/>
      <c r="Z160" s="14"/>
      <c r="AA160" s="12"/>
      <c r="AB160" s="15"/>
      <c r="AC160" s="16">
        <v>0</v>
      </c>
      <c r="AD160" s="16">
        <v>0</v>
      </c>
      <c r="AE160" s="16">
        <v>0</v>
      </c>
      <c r="AF160" s="16">
        <v>1</v>
      </c>
      <c r="AG160" s="16">
        <v>0</v>
      </c>
      <c r="AH160" s="14" t="s">
        <v>166</v>
      </c>
      <c r="AI160" s="54">
        <v>0</v>
      </c>
      <c r="AJ160" s="54">
        <v>0</v>
      </c>
      <c r="AK160" s="54">
        <v>0</v>
      </c>
      <c r="AL160" s="54">
        <v>1</v>
      </c>
      <c r="AM160" s="54">
        <v>0</v>
      </c>
      <c r="AN160" s="14" t="s">
        <v>166</v>
      </c>
    </row>
    <row r="161" spans="1:40" ht="94.5" x14ac:dyDescent="0.25">
      <c r="A161" s="12" t="s">
        <v>1367</v>
      </c>
      <c r="B161" s="12" t="s">
        <v>1368</v>
      </c>
      <c r="C161" s="12" t="s">
        <v>1133</v>
      </c>
      <c r="D161" s="13" t="s">
        <v>115</v>
      </c>
      <c r="E161" s="13" t="s">
        <v>997</v>
      </c>
      <c r="F161" s="13">
        <v>638</v>
      </c>
      <c r="G161" s="13" t="s">
        <v>55</v>
      </c>
      <c r="H161" s="13" t="s">
        <v>704</v>
      </c>
      <c r="I161" s="12"/>
      <c r="J161" s="13">
        <v>650704534</v>
      </c>
      <c r="K161" s="13"/>
      <c r="L161" s="13" t="s">
        <v>705</v>
      </c>
      <c r="M161" s="14" t="s">
        <v>1074</v>
      </c>
      <c r="N161" s="13" t="s">
        <v>1069</v>
      </c>
      <c r="O161" s="12" t="s">
        <v>53</v>
      </c>
      <c r="P161" s="12" t="s">
        <v>174</v>
      </c>
      <c r="Q161" s="12" t="s">
        <v>868</v>
      </c>
      <c r="R161" s="12" t="s">
        <v>174</v>
      </c>
      <c r="S161" s="14" t="s">
        <v>166</v>
      </c>
      <c r="T161" s="12" t="s">
        <v>1110</v>
      </c>
      <c r="U161" s="14" t="s">
        <v>781</v>
      </c>
      <c r="V161" s="14"/>
      <c r="W161" s="14"/>
      <c r="X161" s="12"/>
      <c r="Y161" s="12"/>
      <c r="Z161" s="14"/>
      <c r="AA161" s="12"/>
      <c r="AB161" s="15"/>
      <c r="AC161" s="16">
        <v>0</v>
      </c>
      <c r="AD161" s="16">
        <v>1</v>
      </c>
      <c r="AE161" s="16">
        <v>0</v>
      </c>
      <c r="AF161" s="16">
        <v>0</v>
      </c>
      <c r="AG161" s="16">
        <v>0</v>
      </c>
      <c r="AH161" s="14" t="s">
        <v>166</v>
      </c>
      <c r="AI161" s="54">
        <v>0</v>
      </c>
      <c r="AJ161" s="54">
        <v>1</v>
      </c>
      <c r="AK161" s="54">
        <v>0</v>
      </c>
      <c r="AL161" s="54">
        <v>0</v>
      </c>
      <c r="AM161" s="54">
        <v>0</v>
      </c>
      <c r="AN161" s="14" t="s">
        <v>166</v>
      </c>
    </row>
    <row r="162" spans="1:40" ht="94.5" x14ac:dyDescent="0.25">
      <c r="A162" s="12" t="s">
        <v>1367</v>
      </c>
      <c r="B162" s="12" t="s">
        <v>1368</v>
      </c>
      <c r="C162" s="12" t="s">
        <v>1133</v>
      </c>
      <c r="D162" s="13" t="s">
        <v>115</v>
      </c>
      <c r="E162" s="13" t="s">
        <v>997</v>
      </c>
      <c r="F162" s="13">
        <v>1042</v>
      </c>
      <c r="G162" s="13" t="s">
        <v>55</v>
      </c>
      <c r="H162" s="13" t="s">
        <v>708</v>
      </c>
      <c r="I162" s="12"/>
      <c r="J162" s="13">
        <v>669239357</v>
      </c>
      <c r="K162" s="13"/>
      <c r="L162" s="13" t="s">
        <v>709</v>
      </c>
      <c r="M162" s="14" t="s">
        <v>1118</v>
      </c>
      <c r="N162" s="13" t="s">
        <v>1109</v>
      </c>
      <c r="O162" s="12" t="s">
        <v>53</v>
      </c>
      <c r="P162" s="12" t="s">
        <v>174</v>
      </c>
      <c r="Q162" s="12" t="s">
        <v>868</v>
      </c>
      <c r="R162" s="12" t="s">
        <v>174</v>
      </c>
      <c r="S162" s="14" t="s">
        <v>166</v>
      </c>
      <c r="T162" s="12" t="s">
        <v>1110</v>
      </c>
      <c r="U162" s="14" t="s">
        <v>1323</v>
      </c>
      <c r="V162" s="14"/>
      <c r="W162" s="14"/>
      <c r="X162" s="12"/>
      <c r="Y162" s="12"/>
      <c r="Z162" s="14"/>
      <c r="AA162" s="12"/>
      <c r="AB162" s="15"/>
      <c r="AC162" s="16">
        <v>0</v>
      </c>
      <c r="AD162" s="16">
        <v>0</v>
      </c>
      <c r="AE162" s="16">
        <v>0</v>
      </c>
      <c r="AF162" s="16">
        <v>0</v>
      </c>
      <c r="AG162" s="16">
        <v>0</v>
      </c>
      <c r="AH162" s="14" t="s">
        <v>174</v>
      </c>
      <c r="AI162" s="54">
        <v>0</v>
      </c>
      <c r="AJ162" s="54">
        <v>0</v>
      </c>
      <c r="AK162" s="54">
        <v>0</v>
      </c>
      <c r="AL162" s="54">
        <v>0</v>
      </c>
      <c r="AM162" s="54">
        <v>0</v>
      </c>
      <c r="AN162" s="14" t="s">
        <v>174</v>
      </c>
    </row>
    <row r="163" spans="1:40" ht="94.5" x14ac:dyDescent="0.25">
      <c r="A163" s="12" t="s">
        <v>1367</v>
      </c>
      <c r="B163" s="12" t="s">
        <v>1368</v>
      </c>
      <c r="C163" s="12" t="s">
        <v>1133</v>
      </c>
      <c r="D163" s="13" t="s">
        <v>115</v>
      </c>
      <c r="E163" s="13" t="s">
        <v>997</v>
      </c>
      <c r="F163" s="13">
        <v>7</v>
      </c>
      <c r="G163" s="13" t="s">
        <v>55</v>
      </c>
      <c r="H163" s="13" t="s">
        <v>700</v>
      </c>
      <c r="I163" s="12"/>
      <c r="J163" s="13">
        <v>659463700</v>
      </c>
      <c r="K163" s="13"/>
      <c r="L163" s="13" t="s">
        <v>701</v>
      </c>
      <c r="M163" s="14" t="s">
        <v>1073</v>
      </c>
      <c r="N163" s="13" t="s">
        <v>1068</v>
      </c>
      <c r="O163" s="12" t="s">
        <v>53</v>
      </c>
      <c r="P163" s="12" t="s">
        <v>174</v>
      </c>
      <c r="Q163" s="12" t="s">
        <v>868</v>
      </c>
      <c r="R163" s="12" t="s">
        <v>174</v>
      </c>
      <c r="S163" s="14" t="s">
        <v>166</v>
      </c>
      <c r="T163" s="12" t="s">
        <v>1110</v>
      </c>
      <c r="U163" s="14" t="s">
        <v>780</v>
      </c>
      <c r="V163" s="14"/>
      <c r="W163" s="14"/>
      <c r="X163" s="12"/>
      <c r="Y163" s="12"/>
      <c r="Z163" s="14"/>
      <c r="AA163" s="12"/>
      <c r="AB163" s="15"/>
      <c r="AC163" s="16">
        <v>0</v>
      </c>
      <c r="AD163" s="16">
        <v>0</v>
      </c>
      <c r="AE163" s="16">
        <v>1</v>
      </c>
      <c r="AF163" s="16">
        <v>0</v>
      </c>
      <c r="AG163" s="16">
        <v>0</v>
      </c>
      <c r="AH163" s="14" t="s">
        <v>166</v>
      </c>
      <c r="AI163" s="54">
        <v>0</v>
      </c>
      <c r="AJ163" s="54">
        <v>1</v>
      </c>
      <c r="AK163" s="54">
        <v>0</v>
      </c>
      <c r="AL163" s="54">
        <v>0</v>
      </c>
      <c r="AM163" s="54">
        <v>0</v>
      </c>
      <c r="AN163" s="14" t="s">
        <v>166</v>
      </c>
    </row>
    <row r="164" spans="1:40" ht="94.5" x14ac:dyDescent="0.25">
      <c r="A164" s="12" t="s">
        <v>1367</v>
      </c>
      <c r="B164" s="12" t="s">
        <v>1368</v>
      </c>
      <c r="C164" s="12" t="s">
        <v>1133</v>
      </c>
      <c r="D164" s="13" t="s">
        <v>115</v>
      </c>
      <c r="E164" s="13" t="s">
        <v>997</v>
      </c>
      <c r="F164" s="13">
        <v>734</v>
      </c>
      <c r="G164" s="13" t="s">
        <v>55</v>
      </c>
      <c r="H164" s="13" t="s">
        <v>721</v>
      </c>
      <c r="I164" s="12"/>
      <c r="J164" s="13">
        <v>689622651</v>
      </c>
      <c r="K164" s="13"/>
      <c r="L164" s="13" t="s">
        <v>722</v>
      </c>
      <c r="M164" s="14" t="s">
        <v>1074</v>
      </c>
      <c r="N164" s="13" t="s">
        <v>1069</v>
      </c>
      <c r="O164" s="12" t="s">
        <v>53</v>
      </c>
      <c r="P164" s="12" t="s">
        <v>174</v>
      </c>
      <c r="Q164" s="12" t="s">
        <v>868</v>
      </c>
      <c r="R164" s="12" t="s">
        <v>174</v>
      </c>
      <c r="S164" s="14" t="s">
        <v>166</v>
      </c>
      <c r="T164" s="12" t="s">
        <v>1110</v>
      </c>
      <c r="U164" s="14" t="s">
        <v>781</v>
      </c>
      <c r="V164" s="14"/>
      <c r="W164" s="14"/>
      <c r="X164" s="12"/>
      <c r="Y164" s="12"/>
      <c r="Z164" s="14"/>
      <c r="AA164" s="12"/>
      <c r="AB164" s="15"/>
      <c r="AC164" s="16">
        <v>0</v>
      </c>
      <c r="AD164" s="16">
        <v>0</v>
      </c>
      <c r="AE164" s="16">
        <v>0</v>
      </c>
      <c r="AF164" s="16">
        <v>0</v>
      </c>
      <c r="AG164" s="16">
        <v>0</v>
      </c>
      <c r="AH164" s="14" t="s">
        <v>174</v>
      </c>
      <c r="AI164" s="54">
        <v>0</v>
      </c>
      <c r="AJ164" s="54">
        <v>0</v>
      </c>
      <c r="AK164" s="54">
        <v>0</v>
      </c>
      <c r="AL164" s="54">
        <v>0</v>
      </c>
      <c r="AM164" s="54">
        <v>0</v>
      </c>
      <c r="AN164" s="14" t="s">
        <v>174</v>
      </c>
    </row>
    <row r="165" spans="1:40" ht="94.5" x14ac:dyDescent="0.25">
      <c r="A165" s="12" t="s">
        <v>1369</v>
      </c>
      <c r="B165" s="12" t="s">
        <v>1370</v>
      </c>
      <c r="C165" s="12" t="s">
        <v>1133</v>
      </c>
      <c r="D165" s="13" t="s">
        <v>116</v>
      </c>
      <c r="E165" s="13" t="s">
        <v>998</v>
      </c>
      <c r="F165" s="13">
        <v>1056</v>
      </c>
      <c r="G165" s="13" t="s">
        <v>55</v>
      </c>
      <c r="H165" s="13" t="s">
        <v>690</v>
      </c>
      <c r="I165" s="12"/>
      <c r="J165" s="13">
        <v>618846079</v>
      </c>
      <c r="K165" s="13"/>
      <c r="L165" s="13" t="s">
        <v>691</v>
      </c>
      <c r="M165" s="14" t="s">
        <v>1073</v>
      </c>
      <c r="N165" s="13" t="s">
        <v>1068</v>
      </c>
      <c r="O165" s="12" t="s">
        <v>53</v>
      </c>
      <c r="P165" s="12" t="s">
        <v>174</v>
      </c>
      <c r="Q165" s="12" t="s">
        <v>868</v>
      </c>
      <c r="R165" s="12" t="s">
        <v>174</v>
      </c>
      <c r="S165" s="14" t="s">
        <v>166</v>
      </c>
      <c r="T165" s="12" t="s">
        <v>1110</v>
      </c>
      <c r="U165" s="14" t="s">
        <v>780</v>
      </c>
      <c r="V165" s="14"/>
      <c r="W165" s="14"/>
      <c r="X165" s="12"/>
      <c r="Y165" s="12"/>
      <c r="Z165" s="14"/>
      <c r="AA165" s="12"/>
      <c r="AB165" s="15"/>
      <c r="AC165" s="16">
        <v>0</v>
      </c>
      <c r="AD165" s="16">
        <v>0</v>
      </c>
      <c r="AE165" s="16">
        <v>1</v>
      </c>
      <c r="AF165" s="16">
        <v>0</v>
      </c>
      <c r="AG165" s="16">
        <v>0</v>
      </c>
      <c r="AH165" s="14" t="s">
        <v>166</v>
      </c>
      <c r="AI165" s="54">
        <v>0</v>
      </c>
      <c r="AJ165" s="54">
        <v>0</v>
      </c>
      <c r="AK165" s="54">
        <v>1</v>
      </c>
      <c r="AL165" s="54">
        <v>1</v>
      </c>
      <c r="AM165" s="54">
        <v>1</v>
      </c>
      <c r="AN165" s="14" t="s">
        <v>166</v>
      </c>
    </row>
    <row r="166" spans="1:40" ht="94.5" x14ac:dyDescent="0.25">
      <c r="A166" s="12" t="s">
        <v>1369</v>
      </c>
      <c r="B166" s="12" t="s">
        <v>1370</v>
      </c>
      <c r="C166" s="12" t="s">
        <v>1133</v>
      </c>
      <c r="D166" s="13" t="s">
        <v>116</v>
      </c>
      <c r="E166" s="13" t="s">
        <v>998</v>
      </c>
      <c r="F166" s="13">
        <v>2598</v>
      </c>
      <c r="G166" s="13" t="s">
        <v>55</v>
      </c>
      <c r="H166" s="13" t="s">
        <v>1041</v>
      </c>
      <c r="I166" s="12"/>
      <c r="J166" s="13">
        <v>689048721</v>
      </c>
      <c r="K166" s="13"/>
      <c r="L166" s="13" t="s">
        <v>1063</v>
      </c>
      <c r="M166" s="14" t="s">
        <v>1073</v>
      </c>
      <c r="N166" s="13" t="s">
        <v>1068</v>
      </c>
      <c r="O166" s="12" t="s">
        <v>53</v>
      </c>
      <c r="P166" s="12" t="s">
        <v>174</v>
      </c>
      <c r="Q166" s="12" t="s">
        <v>868</v>
      </c>
      <c r="R166" s="12" t="s">
        <v>174</v>
      </c>
      <c r="S166" s="14" t="s">
        <v>166</v>
      </c>
      <c r="T166" s="12" t="s">
        <v>1110</v>
      </c>
      <c r="U166" s="14" t="s">
        <v>780</v>
      </c>
      <c r="V166" s="14"/>
      <c r="W166" s="14"/>
      <c r="X166" s="12"/>
      <c r="Y166" s="12"/>
      <c r="Z166" s="14"/>
      <c r="AA166" s="12"/>
      <c r="AB166" s="15"/>
      <c r="AC166" s="16">
        <v>0</v>
      </c>
      <c r="AD166" s="16">
        <v>0</v>
      </c>
      <c r="AE166" s="16">
        <v>0</v>
      </c>
      <c r="AF166" s="16">
        <v>0</v>
      </c>
      <c r="AG166" s="16">
        <v>0</v>
      </c>
      <c r="AH166" s="14" t="s">
        <v>174</v>
      </c>
      <c r="AI166" s="54">
        <v>0</v>
      </c>
      <c r="AJ166" s="54">
        <v>0</v>
      </c>
      <c r="AK166" s="54">
        <v>0</v>
      </c>
      <c r="AL166" s="54">
        <v>1</v>
      </c>
      <c r="AM166" s="54">
        <v>0</v>
      </c>
      <c r="AN166" s="14" t="s">
        <v>166</v>
      </c>
    </row>
    <row r="167" spans="1:40" ht="94.5" x14ac:dyDescent="0.25">
      <c r="A167" s="12" t="s">
        <v>1369</v>
      </c>
      <c r="B167" s="12" t="s">
        <v>1370</v>
      </c>
      <c r="C167" s="12" t="s">
        <v>1133</v>
      </c>
      <c r="D167" s="13" t="s">
        <v>116</v>
      </c>
      <c r="E167" s="13" t="s">
        <v>998</v>
      </c>
      <c r="F167" s="13">
        <v>1772</v>
      </c>
      <c r="G167" s="13" t="s">
        <v>55</v>
      </c>
      <c r="H167" s="13" t="s">
        <v>681</v>
      </c>
      <c r="I167" s="12"/>
      <c r="J167" s="13">
        <v>689937090</v>
      </c>
      <c r="K167" s="13"/>
      <c r="L167" s="13" t="s">
        <v>682</v>
      </c>
      <c r="M167" s="14" t="s">
        <v>1073</v>
      </c>
      <c r="N167" s="13" t="s">
        <v>1068</v>
      </c>
      <c r="O167" s="12" t="s">
        <v>53</v>
      </c>
      <c r="P167" s="12" t="s">
        <v>174</v>
      </c>
      <c r="Q167" s="12" t="s">
        <v>868</v>
      </c>
      <c r="R167" s="12" t="s">
        <v>174</v>
      </c>
      <c r="S167" s="14" t="s">
        <v>166</v>
      </c>
      <c r="T167" s="12" t="s">
        <v>1110</v>
      </c>
      <c r="U167" s="14" t="s">
        <v>780</v>
      </c>
      <c r="V167" s="14"/>
      <c r="W167" s="14"/>
      <c r="X167" s="12"/>
      <c r="Y167" s="12"/>
      <c r="Z167" s="14"/>
      <c r="AA167" s="12"/>
      <c r="AB167" s="15"/>
      <c r="AC167" s="16">
        <v>0</v>
      </c>
      <c r="AD167" s="16">
        <v>0</v>
      </c>
      <c r="AE167" s="16">
        <v>0</v>
      </c>
      <c r="AF167" s="16">
        <v>1</v>
      </c>
      <c r="AG167" s="16">
        <v>0</v>
      </c>
      <c r="AH167" s="14" t="s">
        <v>166</v>
      </c>
      <c r="AI167" s="54">
        <v>0</v>
      </c>
      <c r="AJ167" s="54">
        <v>0</v>
      </c>
      <c r="AK167" s="54">
        <v>0</v>
      </c>
      <c r="AL167" s="54">
        <v>1</v>
      </c>
      <c r="AM167" s="54">
        <v>0</v>
      </c>
      <c r="AN167" s="14" t="s">
        <v>166</v>
      </c>
    </row>
    <row r="168" spans="1:40" ht="94.5" x14ac:dyDescent="0.25">
      <c r="A168" s="12" t="s">
        <v>1369</v>
      </c>
      <c r="B168" s="12" t="s">
        <v>1370</v>
      </c>
      <c r="C168" s="12" t="s">
        <v>1133</v>
      </c>
      <c r="D168" s="13" t="s">
        <v>116</v>
      </c>
      <c r="E168" s="13" t="s">
        <v>998</v>
      </c>
      <c r="F168" s="13">
        <v>37</v>
      </c>
      <c r="G168" s="13" t="s">
        <v>55</v>
      </c>
      <c r="H168" s="13" t="s">
        <v>679</v>
      </c>
      <c r="I168" s="12"/>
      <c r="J168" s="13">
        <v>626339024</v>
      </c>
      <c r="K168" s="13"/>
      <c r="L168" s="13" t="s">
        <v>680</v>
      </c>
      <c r="M168" s="14" t="s">
        <v>1074</v>
      </c>
      <c r="N168" s="13" t="s">
        <v>1069</v>
      </c>
      <c r="O168" s="12" t="s">
        <v>53</v>
      </c>
      <c r="P168" s="12" t="s">
        <v>174</v>
      </c>
      <c r="Q168" s="12" t="s">
        <v>868</v>
      </c>
      <c r="R168" s="12" t="s">
        <v>174</v>
      </c>
      <c r="S168" s="14" t="s">
        <v>166</v>
      </c>
      <c r="T168" s="12" t="s">
        <v>1110</v>
      </c>
      <c r="U168" s="14" t="s">
        <v>781</v>
      </c>
      <c r="V168" s="14"/>
      <c r="W168" s="14"/>
      <c r="X168" s="12"/>
      <c r="Y168" s="12"/>
      <c r="Z168" s="14"/>
      <c r="AA168" s="12"/>
      <c r="AB168" s="15"/>
      <c r="AC168" s="16">
        <v>0</v>
      </c>
      <c r="AD168" s="16">
        <v>0</v>
      </c>
      <c r="AE168" s="16">
        <v>0</v>
      </c>
      <c r="AF168" s="16">
        <v>0</v>
      </c>
      <c r="AG168" s="16">
        <v>0</v>
      </c>
      <c r="AH168" s="14" t="s">
        <v>174</v>
      </c>
      <c r="AI168" s="54">
        <v>0</v>
      </c>
      <c r="AJ168" s="54">
        <v>0</v>
      </c>
      <c r="AK168" s="54">
        <v>0</v>
      </c>
      <c r="AL168" s="54">
        <v>0</v>
      </c>
      <c r="AM168" s="54">
        <v>0</v>
      </c>
      <c r="AN168" s="14" t="s">
        <v>174</v>
      </c>
    </row>
    <row r="169" spans="1:40" ht="94.5" x14ac:dyDescent="0.25">
      <c r="A169" s="12" t="s">
        <v>1371</v>
      </c>
      <c r="B169" s="12" t="s">
        <v>1372</v>
      </c>
      <c r="C169" s="12" t="s">
        <v>1133</v>
      </c>
      <c r="D169" s="13" t="s">
        <v>115</v>
      </c>
      <c r="E169" s="13" t="s">
        <v>1014</v>
      </c>
      <c r="F169" s="13">
        <v>2840</v>
      </c>
      <c r="G169" s="13" t="s">
        <v>55</v>
      </c>
      <c r="H169" s="13" t="s">
        <v>683</v>
      </c>
      <c r="I169" s="12"/>
      <c r="J169" s="13">
        <v>669493108</v>
      </c>
      <c r="K169" s="13"/>
      <c r="L169" s="13" t="s">
        <v>684</v>
      </c>
      <c r="M169" s="14" t="s">
        <v>1073</v>
      </c>
      <c r="N169" s="13" t="s">
        <v>1068</v>
      </c>
      <c r="O169" s="12">
        <v>3</v>
      </c>
      <c r="P169" s="12" t="s">
        <v>174</v>
      </c>
      <c r="Q169" s="12" t="s">
        <v>868</v>
      </c>
      <c r="R169" s="12" t="s">
        <v>174</v>
      </c>
      <c r="S169" s="14" t="s">
        <v>166</v>
      </c>
      <c r="T169" s="12" t="s">
        <v>1110</v>
      </c>
      <c r="U169" s="14" t="s">
        <v>780</v>
      </c>
      <c r="V169" s="14"/>
      <c r="W169" s="14"/>
      <c r="X169" s="12"/>
      <c r="Y169" s="12"/>
      <c r="Z169" s="14"/>
      <c r="AA169" s="12"/>
      <c r="AB169" s="15"/>
      <c r="AC169" s="16">
        <v>0</v>
      </c>
      <c r="AD169" s="16">
        <v>0</v>
      </c>
      <c r="AE169" s="16">
        <v>1</v>
      </c>
      <c r="AF169" s="16">
        <v>0</v>
      </c>
      <c r="AG169" s="16">
        <v>0</v>
      </c>
      <c r="AH169" s="14" t="s">
        <v>166</v>
      </c>
      <c r="AI169" s="54">
        <v>1</v>
      </c>
      <c r="AJ169" s="54">
        <v>1</v>
      </c>
      <c r="AK169" s="54">
        <v>0</v>
      </c>
      <c r="AL169" s="54">
        <v>0</v>
      </c>
      <c r="AM169" s="54">
        <v>0</v>
      </c>
      <c r="AN169" s="14" t="s">
        <v>166</v>
      </c>
    </row>
    <row r="170" spans="1:40" ht="94.5" x14ac:dyDescent="0.25">
      <c r="A170" s="12" t="s">
        <v>1371</v>
      </c>
      <c r="B170" s="12" t="s">
        <v>1372</v>
      </c>
      <c r="C170" s="12" t="s">
        <v>1133</v>
      </c>
      <c r="D170" s="13" t="s">
        <v>115</v>
      </c>
      <c r="E170" s="13" t="s">
        <v>1014</v>
      </c>
      <c r="F170" s="13">
        <v>1145</v>
      </c>
      <c r="G170" s="13" t="s">
        <v>55</v>
      </c>
      <c r="H170" s="13" t="s">
        <v>696</v>
      </c>
      <c r="I170" s="12"/>
      <c r="J170" s="13">
        <v>679951494</v>
      </c>
      <c r="K170" s="13"/>
      <c r="L170" s="13" t="s">
        <v>697</v>
      </c>
      <c r="M170" s="14" t="s">
        <v>1073</v>
      </c>
      <c r="N170" s="13" t="s">
        <v>1068</v>
      </c>
      <c r="O170" s="12">
        <v>3</v>
      </c>
      <c r="P170" s="12" t="s">
        <v>174</v>
      </c>
      <c r="Q170" s="12" t="s">
        <v>868</v>
      </c>
      <c r="R170" s="12" t="s">
        <v>174</v>
      </c>
      <c r="S170" s="14" t="s">
        <v>166</v>
      </c>
      <c r="T170" s="12" t="s">
        <v>1110</v>
      </c>
      <c r="U170" s="14" t="s">
        <v>780</v>
      </c>
      <c r="V170" s="14"/>
      <c r="W170" s="14"/>
      <c r="X170" s="12"/>
      <c r="Y170" s="12"/>
      <c r="Z170" s="14"/>
      <c r="AA170" s="12"/>
      <c r="AB170" s="15"/>
      <c r="AC170" s="16">
        <v>0</v>
      </c>
      <c r="AD170" s="16">
        <v>0</v>
      </c>
      <c r="AE170" s="16">
        <v>0</v>
      </c>
      <c r="AF170" s="16">
        <v>1</v>
      </c>
      <c r="AG170" s="16">
        <v>0</v>
      </c>
      <c r="AH170" s="14" t="s">
        <v>166</v>
      </c>
      <c r="AI170" s="54">
        <v>0</v>
      </c>
      <c r="AJ170" s="54">
        <v>0</v>
      </c>
      <c r="AK170" s="54">
        <v>0</v>
      </c>
      <c r="AL170" s="54">
        <v>1</v>
      </c>
      <c r="AM170" s="54">
        <v>0</v>
      </c>
      <c r="AN170" s="14" t="s">
        <v>166</v>
      </c>
    </row>
    <row r="171" spans="1:40" ht="94.5" x14ac:dyDescent="0.25">
      <c r="A171" s="12" t="s">
        <v>1371</v>
      </c>
      <c r="B171" s="12" t="s">
        <v>1372</v>
      </c>
      <c r="C171" s="12" t="s">
        <v>1133</v>
      </c>
      <c r="D171" s="13" t="s">
        <v>115</v>
      </c>
      <c r="E171" s="13" t="s">
        <v>1014</v>
      </c>
      <c r="F171" s="13">
        <v>1102</v>
      </c>
      <c r="G171" s="13" t="s">
        <v>55</v>
      </c>
      <c r="H171" s="13" t="s">
        <v>416</v>
      </c>
      <c r="I171" s="12"/>
      <c r="J171" s="13">
        <v>690946615</v>
      </c>
      <c r="K171" s="13"/>
      <c r="L171" s="13" t="s">
        <v>417</v>
      </c>
      <c r="M171" s="14" t="s">
        <v>1074</v>
      </c>
      <c r="N171" s="13" t="s">
        <v>1069</v>
      </c>
      <c r="O171" s="12" t="s">
        <v>53</v>
      </c>
      <c r="P171" s="12" t="s">
        <v>174</v>
      </c>
      <c r="Q171" s="12" t="s">
        <v>868</v>
      </c>
      <c r="R171" s="12" t="s">
        <v>174</v>
      </c>
      <c r="S171" s="14" t="s">
        <v>166</v>
      </c>
      <c r="T171" s="12" t="s">
        <v>1110</v>
      </c>
      <c r="U171" s="14" t="s">
        <v>781</v>
      </c>
      <c r="V171" s="14"/>
      <c r="W171" s="14"/>
      <c r="X171" s="12"/>
      <c r="Y171" s="12"/>
      <c r="Z171" s="14"/>
      <c r="AA171" s="12"/>
      <c r="AB171" s="15"/>
      <c r="AC171" s="16">
        <v>0</v>
      </c>
      <c r="AD171" s="16">
        <v>1</v>
      </c>
      <c r="AE171" s="16">
        <v>0</v>
      </c>
      <c r="AF171" s="16">
        <v>0</v>
      </c>
      <c r="AG171" s="16">
        <v>0</v>
      </c>
      <c r="AH171" s="14" t="s">
        <v>166</v>
      </c>
      <c r="AI171" s="54">
        <v>0</v>
      </c>
      <c r="AJ171" s="54">
        <v>0</v>
      </c>
      <c r="AK171" s="54">
        <v>0</v>
      </c>
      <c r="AL171" s="54">
        <v>1</v>
      </c>
      <c r="AM171" s="54">
        <v>0</v>
      </c>
      <c r="AN171" s="14" t="s">
        <v>166</v>
      </c>
    </row>
    <row r="172" spans="1:40" ht="47.25" x14ac:dyDescent="0.25">
      <c r="A172" s="12" t="s">
        <v>1373</v>
      </c>
      <c r="B172" s="12" t="s">
        <v>1374</v>
      </c>
      <c r="C172" s="12" t="s">
        <v>1133</v>
      </c>
      <c r="D172" s="13" t="s">
        <v>786</v>
      </c>
      <c r="E172" s="13" t="s">
        <v>989</v>
      </c>
      <c r="F172" s="13">
        <v>1078</v>
      </c>
      <c r="G172" s="13" t="s">
        <v>40</v>
      </c>
      <c r="H172" s="13" t="s">
        <v>418</v>
      </c>
      <c r="I172" s="12"/>
      <c r="J172" s="13">
        <v>608518938</v>
      </c>
      <c r="K172" s="13"/>
      <c r="L172" s="13" t="s">
        <v>419</v>
      </c>
      <c r="M172" s="14" t="s">
        <v>1073</v>
      </c>
      <c r="N172" s="13" t="s">
        <v>1068</v>
      </c>
      <c r="O172" s="12" t="s">
        <v>53</v>
      </c>
      <c r="P172" s="12" t="s">
        <v>174</v>
      </c>
      <c r="Q172" s="12" t="s">
        <v>868</v>
      </c>
      <c r="R172" s="12" t="s">
        <v>174</v>
      </c>
      <c r="S172" s="14" t="s">
        <v>166</v>
      </c>
      <c r="T172" s="12" t="s">
        <v>1110</v>
      </c>
      <c r="U172" s="14" t="s">
        <v>780</v>
      </c>
      <c r="V172" s="14"/>
      <c r="W172" s="14"/>
      <c r="X172" s="12"/>
      <c r="Y172" s="12"/>
      <c r="Z172" s="14"/>
      <c r="AA172" s="12"/>
      <c r="AB172" s="15"/>
      <c r="AC172" s="16">
        <v>0</v>
      </c>
      <c r="AD172" s="16">
        <v>1</v>
      </c>
      <c r="AE172" s="16">
        <v>0</v>
      </c>
      <c r="AF172" s="16">
        <v>0</v>
      </c>
      <c r="AG172" s="16">
        <v>0</v>
      </c>
      <c r="AH172" s="14" t="s">
        <v>166</v>
      </c>
      <c r="AI172" s="54">
        <v>0</v>
      </c>
      <c r="AJ172" s="54">
        <v>0</v>
      </c>
      <c r="AK172" s="54">
        <v>0</v>
      </c>
      <c r="AL172" s="54">
        <v>1</v>
      </c>
      <c r="AM172" s="54">
        <v>1</v>
      </c>
      <c r="AN172" s="14" t="s">
        <v>166</v>
      </c>
    </row>
    <row r="173" spans="1:40" ht="47.25" x14ac:dyDescent="0.25">
      <c r="A173" s="12" t="s">
        <v>1375</v>
      </c>
      <c r="B173" s="12" t="s">
        <v>1376</v>
      </c>
      <c r="C173" s="12" t="s">
        <v>1133</v>
      </c>
      <c r="D173" s="13" t="s">
        <v>786</v>
      </c>
      <c r="E173" s="13" t="s">
        <v>999</v>
      </c>
      <c r="F173" s="13">
        <v>2021</v>
      </c>
      <c r="G173" s="13" t="s">
        <v>40</v>
      </c>
      <c r="H173" s="13" t="s">
        <v>843</v>
      </c>
      <c r="I173" s="12"/>
      <c r="J173" s="13">
        <v>679464484</v>
      </c>
      <c r="K173" s="13"/>
      <c r="L173" s="13" t="s">
        <v>949</v>
      </c>
      <c r="M173" s="14" t="s">
        <v>1073</v>
      </c>
      <c r="N173" s="13" t="s">
        <v>1068</v>
      </c>
      <c r="O173" s="12" t="s">
        <v>53</v>
      </c>
      <c r="P173" s="12" t="s">
        <v>174</v>
      </c>
      <c r="Q173" s="12" t="s">
        <v>868</v>
      </c>
      <c r="R173" s="12" t="s">
        <v>174</v>
      </c>
      <c r="S173" s="14" t="s">
        <v>166</v>
      </c>
      <c r="T173" s="12" t="s">
        <v>1110</v>
      </c>
      <c r="U173" s="14" t="s">
        <v>780</v>
      </c>
      <c r="V173" s="14"/>
      <c r="W173" s="14"/>
      <c r="X173" s="12"/>
      <c r="Y173" s="12"/>
      <c r="Z173" s="14"/>
      <c r="AA173" s="12"/>
      <c r="AB173" s="15"/>
      <c r="AC173" s="16">
        <v>0</v>
      </c>
      <c r="AD173" s="16">
        <v>0</v>
      </c>
      <c r="AE173" s="16">
        <v>0</v>
      </c>
      <c r="AF173" s="16">
        <v>0</v>
      </c>
      <c r="AG173" s="16">
        <v>0</v>
      </c>
      <c r="AH173" s="14" t="s">
        <v>174</v>
      </c>
      <c r="AI173" s="54">
        <v>0</v>
      </c>
      <c r="AJ173" s="54">
        <v>0</v>
      </c>
      <c r="AK173" s="54">
        <v>0</v>
      </c>
      <c r="AL173" s="54">
        <v>1</v>
      </c>
      <c r="AM173" s="54">
        <v>1</v>
      </c>
      <c r="AN173" s="14" t="s">
        <v>166</v>
      </c>
    </row>
    <row r="174" spans="1:40" ht="63" x14ac:dyDescent="0.25">
      <c r="A174" s="12" t="s">
        <v>1375</v>
      </c>
      <c r="B174" s="12" t="s">
        <v>1376</v>
      </c>
      <c r="C174" s="12" t="s">
        <v>1133</v>
      </c>
      <c r="D174" s="13" t="s">
        <v>786</v>
      </c>
      <c r="E174" s="13" t="s">
        <v>999</v>
      </c>
      <c r="F174" s="13">
        <v>4189</v>
      </c>
      <c r="G174" s="13" t="s">
        <v>40</v>
      </c>
      <c r="H174" s="13" t="s">
        <v>723</v>
      </c>
      <c r="I174" s="12"/>
      <c r="J174" s="13">
        <v>636563666</v>
      </c>
      <c r="K174" s="13"/>
      <c r="L174" s="13" t="s">
        <v>842</v>
      </c>
      <c r="M174" s="14" t="s">
        <v>1076</v>
      </c>
      <c r="N174" s="13" t="s">
        <v>1071</v>
      </c>
      <c r="O174" s="12" t="s">
        <v>53</v>
      </c>
      <c r="P174" s="12" t="s">
        <v>174</v>
      </c>
      <c r="Q174" s="12" t="s">
        <v>868</v>
      </c>
      <c r="R174" s="12" t="s">
        <v>174</v>
      </c>
      <c r="S174" s="14" t="s">
        <v>166</v>
      </c>
      <c r="T174" s="12" t="s">
        <v>1110</v>
      </c>
      <c r="U174" s="14" t="s">
        <v>1377</v>
      </c>
      <c r="V174" s="14"/>
      <c r="W174" s="14"/>
      <c r="X174" s="12"/>
      <c r="Y174" s="12"/>
      <c r="Z174" s="14"/>
      <c r="AA174" s="12"/>
      <c r="AB174" s="15"/>
      <c r="AC174" s="16">
        <v>0</v>
      </c>
      <c r="AD174" s="16">
        <v>0</v>
      </c>
      <c r="AE174" s="16">
        <v>0</v>
      </c>
      <c r="AF174" s="16">
        <v>0</v>
      </c>
      <c r="AG174" s="16">
        <v>1</v>
      </c>
      <c r="AH174" s="14" t="s">
        <v>166</v>
      </c>
      <c r="AI174" s="54">
        <v>0</v>
      </c>
      <c r="AJ174" s="54">
        <v>0</v>
      </c>
      <c r="AK174" s="54">
        <v>0</v>
      </c>
      <c r="AL174" s="54">
        <v>1</v>
      </c>
      <c r="AM174" s="54">
        <v>1</v>
      </c>
      <c r="AN174" s="14" t="s">
        <v>166</v>
      </c>
    </row>
    <row r="175" spans="1:40" ht="94.5" x14ac:dyDescent="0.25">
      <c r="A175" s="12" t="s">
        <v>1378</v>
      </c>
      <c r="B175" s="12" t="s">
        <v>1379</v>
      </c>
      <c r="C175" s="12" t="s">
        <v>1133</v>
      </c>
      <c r="D175" s="13" t="s">
        <v>115</v>
      </c>
      <c r="E175" s="13" t="s">
        <v>1014</v>
      </c>
      <c r="F175" s="13">
        <v>3989</v>
      </c>
      <c r="G175" s="13" t="s">
        <v>40</v>
      </c>
      <c r="H175" s="13" t="s">
        <v>716</v>
      </c>
      <c r="I175" s="12"/>
      <c r="J175" s="13">
        <v>683231020</v>
      </c>
      <c r="K175" s="13"/>
      <c r="L175" s="13" t="s">
        <v>950</v>
      </c>
      <c r="M175" s="14" t="s">
        <v>1117</v>
      </c>
      <c r="N175" s="13" t="s">
        <v>1108</v>
      </c>
      <c r="O175" s="12" t="s">
        <v>53</v>
      </c>
      <c r="P175" s="12" t="s">
        <v>174</v>
      </c>
      <c r="Q175" s="12" t="s">
        <v>868</v>
      </c>
      <c r="R175" s="12" t="s">
        <v>174</v>
      </c>
      <c r="S175" s="14" t="s">
        <v>166</v>
      </c>
      <c r="T175" s="12" t="s">
        <v>1110</v>
      </c>
      <c r="U175" s="14" t="s">
        <v>1326</v>
      </c>
      <c r="V175" s="14"/>
      <c r="W175" s="14"/>
      <c r="X175" s="12"/>
      <c r="Y175" s="12"/>
      <c r="Z175" s="14"/>
      <c r="AA175" s="12"/>
      <c r="AB175" s="15"/>
      <c r="AC175" s="16">
        <v>0</v>
      </c>
      <c r="AD175" s="16">
        <v>0</v>
      </c>
      <c r="AE175" s="16">
        <v>0</v>
      </c>
      <c r="AF175" s="16">
        <v>0</v>
      </c>
      <c r="AG175" s="16">
        <v>1</v>
      </c>
      <c r="AH175" s="14" t="s">
        <v>166</v>
      </c>
      <c r="AI175" s="54">
        <v>0</v>
      </c>
      <c r="AJ175" s="54">
        <v>0</v>
      </c>
      <c r="AK175" s="54">
        <v>0</v>
      </c>
      <c r="AL175" s="54">
        <v>1</v>
      </c>
      <c r="AM175" s="54">
        <v>1</v>
      </c>
      <c r="AN175" s="14" t="s">
        <v>166</v>
      </c>
    </row>
    <row r="176" spans="1:40" ht="94.5" x14ac:dyDescent="0.25">
      <c r="A176" s="12" t="s">
        <v>1378</v>
      </c>
      <c r="B176" s="12" t="s">
        <v>1379</v>
      </c>
      <c r="C176" s="12" t="s">
        <v>1133</v>
      </c>
      <c r="D176" s="13" t="s">
        <v>115</v>
      </c>
      <c r="E176" s="13" t="s">
        <v>1014</v>
      </c>
      <c r="F176" s="13">
        <v>6012</v>
      </c>
      <c r="G176" s="13" t="s">
        <v>40</v>
      </c>
      <c r="H176" s="13" t="s">
        <v>947</v>
      </c>
      <c r="I176" s="12"/>
      <c r="J176" s="13">
        <v>669529528</v>
      </c>
      <c r="K176" s="13"/>
      <c r="L176" s="13" t="s">
        <v>948</v>
      </c>
      <c r="M176" s="14" t="s">
        <v>1073</v>
      </c>
      <c r="N176" s="13" t="s">
        <v>1068</v>
      </c>
      <c r="O176" s="12" t="s">
        <v>53</v>
      </c>
      <c r="P176" s="12" t="s">
        <v>174</v>
      </c>
      <c r="Q176" s="12" t="s">
        <v>868</v>
      </c>
      <c r="R176" s="12" t="s">
        <v>174</v>
      </c>
      <c r="S176" s="14" t="s">
        <v>166</v>
      </c>
      <c r="T176" s="12" t="s">
        <v>1110</v>
      </c>
      <c r="U176" s="14" t="s">
        <v>780</v>
      </c>
      <c r="V176" s="14"/>
      <c r="W176" s="14"/>
      <c r="X176" s="12"/>
      <c r="Y176" s="12"/>
      <c r="Z176" s="14"/>
      <c r="AA176" s="12"/>
      <c r="AB176" s="15"/>
      <c r="AC176" s="16">
        <v>0</v>
      </c>
      <c r="AD176" s="16">
        <v>0</v>
      </c>
      <c r="AE176" s="16">
        <v>0</v>
      </c>
      <c r="AF176" s="16">
        <v>0</v>
      </c>
      <c r="AG176" s="16">
        <v>1</v>
      </c>
      <c r="AH176" s="14" t="s">
        <v>166</v>
      </c>
      <c r="AI176" s="54">
        <v>0</v>
      </c>
      <c r="AJ176" s="54">
        <v>0</v>
      </c>
      <c r="AK176" s="54">
        <v>1</v>
      </c>
      <c r="AL176" s="54">
        <v>0</v>
      </c>
      <c r="AM176" s="54">
        <v>1</v>
      </c>
      <c r="AN176" s="14" t="s">
        <v>166</v>
      </c>
    </row>
    <row r="177" spans="1:40" ht="94.5" x14ac:dyDescent="0.25">
      <c r="A177" s="12" t="s">
        <v>1378</v>
      </c>
      <c r="B177" s="12" t="s">
        <v>1379</v>
      </c>
      <c r="C177" s="12" t="s">
        <v>1133</v>
      </c>
      <c r="D177" s="13" t="s">
        <v>115</v>
      </c>
      <c r="E177" s="13" t="s">
        <v>1014</v>
      </c>
      <c r="F177" s="13">
        <v>2300</v>
      </c>
      <c r="G177" s="13" t="s">
        <v>40</v>
      </c>
      <c r="H177" s="13" t="s">
        <v>541</v>
      </c>
      <c r="I177" s="12"/>
      <c r="J177" s="13">
        <v>650623946</v>
      </c>
      <c r="K177" s="13"/>
      <c r="L177" s="13" t="s">
        <v>542</v>
      </c>
      <c r="M177" s="14" t="s">
        <v>1074</v>
      </c>
      <c r="N177" s="13" t="s">
        <v>1069</v>
      </c>
      <c r="O177" s="12" t="s">
        <v>53</v>
      </c>
      <c r="P177" s="12" t="s">
        <v>174</v>
      </c>
      <c r="Q177" s="12" t="s">
        <v>868</v>
      </c>
      <c r="R177" s="12" t="s">
        <v>174</v>
      </c>
      <c r="S177" s="14" t="s">
        <v>166</v>
      </c>
      <c r="T177" s="12" t="s">
        <v>174</v>
      </c>
      <c r="U177" s="14" t="s">
        <v>781</v>
      </c>
      <c r="V177" s="14"/>
      <c r="W177" s="14"/>
      <c r="X177" s="12"/>
      <c r="Y177" s="12"/>
      <c r="Z177" s="14"/>
      <c r="AA177" s="12"/>
      <c r="AB177" s="15"/>
      <c r="AC177" s="16">
        <v>0</v>
      </c>
      <c r="AD177" s="16">
        <v>0</v>
      </c>
      <c r="AE177" s="16">
        <v>0</v>
      </c>
      <c r="AF177" s="16">
        <v>0</v>
      </c>
      <c r="AG177" s="16">
        <v>1</v>
      </c>
      <c r="AH177" s="14" t="s">
        <v>166</v>
      </c>
      <c r="AI177" s="54">
        <v>0</v>
      </c>
      <c r="AJ177" s="54">
        <v>0</v>
      </c>
      <c r="AK177" s="54">
        <v>1</v>
      </c>
      <c r="AL177" s="54">
        <v>0</v>
      </c>
      <c r="AM177" s="54">
        <v>1</v>
      </c>
      <c r="AN177" s="14" t="s">
        <v>166</v>
      </c>
    </row>
    <row r="178" spans="1:40" ht="94.5" x14ac:dyDescent="0.25">
      <c r="A178" s="12" t="s">
        <v>1378</v>
      </c>
      <c r="B178" s="12" t="s">
        <v>1379</v>
      </c>
      <c r="C178" s="12" t="s">
        <v>1133</v>
      </c>
      <c r="D178" s="13" t="s">
        <v>115</v>
      </c>
      <c r="E178" s="13" t="s">
        <v>1014</v>
      </c>
      <c r="F178" s="13">
        <v>4782</v>
      </c>
      <c r="G178" s="13" t="s">
        <v>40</v>
      </c>
      <c r="H178" s="13" t="s">
        <v>524</v>
      </c>
      <c r="I178" s="12"/>
      <c r="J178" s="13">
        <v>696229518</v>
      </c>
      <c r="K178" s="13"/>
      <c r="L178" s="13" t="s">
        <v>939</v>
      </c>
      <c r="M178" s="14" t="s">
        <v>1073</v>
      </c>
      <c r="N178" s="13" t="s">
        <v>1068</v>
      </c>
      <c r="O178" s="12" t="s">
        <v>53</v>
      </c>
      <c r="P178" s="12" t="s">
        <v>174</v>
      </c>
      <c r="Q178" s="12" t="s">
        <v>868</v>
      </c>
      <c r="R178" s="12" t="s">
        <v>174</v>
      </c>
      <c r="S178" s="14" t="s">
        <v>166</v>
      </c>
      <c r="T178" s="12" t="s">
        <v>174</v>
      </c>
      <c r="U178" s="14" t="s">
        <v>780</v>
      </c>
      <c r="V178" s="14"/>
      <c r="W178" s="14"/>
      <c r="X178" s="12"/>
      <c r="Y178" s="12"/>
      <c r="Z178" s="14"/>
      <c r="AA178" s="12"/>
      <c r="AB178" s="15"/>
      <c r="AC178" s="16">
        <v>0</v>
      </c>
      <c r="AD178" s="16">
        <v>0</v>
      </c>
      <c r="AE178" s="16">
        <v>0</v>
      </c>
      <c r="AF178" s="16">
        <v>0</v>
      </c>
      <c r="AG178" s="16">
        <v>1</v>
      </c>
      <c r="AH178" s="14" t="s">
        <v>166</v>
      </c>
      <c r="AI178" s="54">
        <v>0</v>
      </c>
      <c r="AJ178" s="54">
        <v>0</v>
      </c>
      <c r="AK178" s="54">
        <v>1</v>
      </c>
      <c r="AL178" s="54">
        <v>0</v>
      </c>
      <c r="AM178" s="54">
        <v>1</v>
      </c>
      <c r="AN178" s="14" t="s">
        <v>166</v>
      </c>
    </row>
    <row r="179" spans="1:40" ht="47.25" x14ac:dyDescent="0.25">
      <c r="A179" s="12" t="s">
        <v>1380</v>
      </c>
      <c r="B179" s="12" t="s">
        <v>1381</v>
      </c>
      <c r="C179" s="12" t="s">
        <v>1133</v>
      </c>
      <c r="D179" s="13" t="s">
        <v>786</v>
      </c>
      <c r="E179" s="13" t="s">
        <v>989</v>
      </c>
      <c r="F179" s="13">
        <v>5381</v>
      </c>
      <c r="G179" s="13" t="s">
        <v>41</v>
      </c>
      <c r="H179" s="13" t="s">
        <v>945</v>
      </c>
      <c r="I179" s="12"/>
      <c r="J179" s="13">
        <v>679129970</v>
      </c>
      <c r="K179" s="13"/>
      <c r="L179" s="13" t="s">
        <v>946</v>
      </c>
      <c r="M179" s="14" t="s">
        <v>1073</v>
      </c>
      <c r="N179" s="13" t="s">
        <v>1068</v>
      </c>
      <c r="O179" s="12" t="s">
        <v>53</v>
      </c>
      <c r="P179" s="12" t="s">
        <v>174</v>
      </c>
      <c r="Q179" s="12" t="s">
        <v>868</v>
      </c>
      <c r="R179" s="12" t="s">
        <v>174</v>
      </c>
      <c r="S179" s="14" t="s">
        <v>166</v>
      </c>
      <c r="T179" s="12" t="s">
        <v>1110</v>
      </c>
      <c r="U179" s="14" t="s">
        <v>780</v>
      </c>
      <c r="V179" s="14"/>
      <c r="W179" s="14"/>
      <c r="X179" s="12"/>
      <c r="Y179" s="12"/>
      <c r="Z179" s="14"/>
      <c r="AA179" s="12"/>
      <c r="AB179" s="15"/>
      <c r="AC179" s="16">
        <v>0</v>
      </c>
      <c r="AD179" s="16">
        <v>0</v>
      </c>
      <c r="AE179" s="16">
        <v>0</v>
      </c>
      <c r="AF179" s="16">
        <v>0</v>
      </c>
      <c r="AG179" s="16">
        <v>1</v>
      </c>
      <c r="AH179" s="14" t="s">
        <v>166</v>
      </c>
      <c r="AI179" s="54">
        <v>0</v>
      </c>
      <c r="AJ179" s="54">
        <v>0</v>
      </c>
      <c r="AK179" s="54">
        <v>0</v>
      </c>
      <c r="AL179" s="54">
        <v>0</v>
      </c>
      <c r="AM179" s="54">
        <v>1</v>
      </c>
      <c r="AN179" s="14" t="s">
        <v>166</v>
      </c>
    </row>
    <row r="180" spans="1:40" ht="47.25" x14ac:dyDescent="0.25">
      <c r="A180" s="12" t="s">
        <v>1380</v>
      </c>
      <c r="B180" s="12" t="s">
        <v>1381</v>
      </c>
      <c r="C180" s="12" t="s">
        <v>1133</v>
      </c>
      <c r="D180" s="13" t="s">
        <v>786</v>
      </c>
      <c r="E180" s="13" t="s">
        <v>989</v>
      </c>
      <c r="F180" s="13">
        <v>5472</v>
      </c>
      <c r="G180" s="13" t="s">
        <v>41</v>
      </c>
      <c r="H180" s="13" t="s">
        <v>943</v>
      </c>
      <c r="I180" s="12"/>
      <c r="J180" s="13">
        <v>669163796</v>
      </c>
      <c r="K180" s="13"/>
      <c r="L180" s="13" t="s">
        <v>944</v>
      </c>
      <c r="M180" s="14" t="s">
        <v>1116</v>
      </c>
      <c r="N180" s="13" t="s">
        <v>1107</v>
      </c>
      <c r="O180" s="12" t="s">
        <v>67</v>
      </c>
      <c r="P180" s="12" t="s">
        <v>174</v>
      </c>
      <c r="Q180" s="12" t="s">
        <v>868</v>
      </c>
      <c r="R180" s="12" t="s">
        <v>174</v>
      </c>
      <c r="S180" s="14" t="s">
        <v>166</v>
      </c>
      <c r="T180" s="12" t="s">
        <v>1110</v>
      </c>
      <c r="U180" s="14" t="s">
        <v>1078</v>
      </c>
      <c r="V180" s="14"/>
      <c r="W180" s="14"/>
      <c r="X180" s="12"/>
      <c r="Y180" s="12"/>
      <c r="Z180" s="14"/>
      <c r="AA180" s="12"/>
      <c r="AB180" s="15"/>
      <c r="AC180" s="16">
        <v>0</v>
      </c>
      <c r="AD180" s="16">
        <v>0</v>
      </c>
      <c r="AE180" s="16">
        <v>0</v>
      </c>
      <c r="AF180" s="16">
        <v>0</v>
      </c>
      <c r="AG180" s="16">
        <v>1</v>
      </c>
      <c r="AH180" s="14" t="s">
        <v>166</v>
      </c>
      <c r="AI180" s="54">
        <v>0</v>
      </c>
      <c r="AJ180" s="54">
        <v>0</v>
      </c>
      <c r="AK180" s="54">
        <v>0</v>
      </c>
      <c r="AL180" s="54">
        <v>1</v>
      </c>
      <c r="AM180" s="54">
        <v>1</v>
      </c>
      <c r="AN180" s="14" t="s">
        <v>166</v>
      </c>
    </row>
    <row r="181" spans="1:40" ht="47.25" x14ac:dyDescent="0.25">
      <c r="A181" s="12" t="s">
        <v>1380</v>
      </c>
      <c r="B181" s="12" t="s">
        <v>1381</v>
      </c>
      <c r="C181" s="12" t="s">
        <v>1133</v>
      </c>
      <c r="D181" s="13" t="s">
        <v>786</v>
      </c>
      <c r="E181" s="13" t="s">
        <v>989</v>
      </c>
      <c r="F181" s="13">
        <v>2478</v>
      </c>
      <c r="G181" s="13" t="s">
        <v>41</v>
      </c>
      <c r="H181" s="13" t="s">
        <v>462</v>
      </c>
      <c r="I181" s="12"/>
      <c r="J181" s="13">
        <v>690901566</v>
      </c>
      <c r="K181" s="13"/>
      <c r="L181" s="13" t="s">
        <v>463</v>
      </c>
      <c r="M181" s="14" t="s">
        <v>153</v>
      </c>
      <c r="N181" s="13" t="s">
        <v>152</v>
      </c>
      <c r="O181" s="12" t="s">
        <v>67</v>
      </c>
      <c r="P181" s="12" t="s">
        <v>174</v>
      </c>
      <c r="Q181" s="12" t="s">
        <v>868</v>
      </c>
      <c r="R181" s="12" t="s">
        <v>174</v>
      </c>
      <c r="S181" s="14" t="s">
        <v>166</v>
      </c>
      <c r="T181" s="12" t="s">
        <v>1110</v>
      </c>
      <c r="U181" s="14" t="s">
        <v>782</v>
      </c>
      <c r="V181" s="14"/>
      <c r="W181" s="14"/>
      <c r="X181" s="12"/>
      <c r="Y181" s="12"/>
      <c r="Z181" s="14"/>
      <c r="AA181" s="12"/>
      <c r="AB181" s="15"/>
      <c r="AC181" s="16">
        <v>0</v>
      </c>
      <c r="AD181" s="16">
        <v>0</v>
      </c>
      <c r="AE181" s="16">
        <v>1</v>
      </c>
      <c r="AF181" s="16">
        <v>0</v>
      </c>
      <c r="AG181" s="16">
        <v>0</v>
      </c>
      <c r="AH181" s="14" t="s">
        <v>166</v>
      </c>
      <c r="AI181" s="54">
        <v>0</v>
      </c>
      <c r="AJ181" s="54">
        <v>0</v>
      </c>
      <c r="AK181" s="54">
        <v>0</v>
      </c>
      <c r="AL181" s="54">
        <v>1</v>
      </c>
      <c r="AM181" s="54">
        <v>0</v>
      </c>
      <c r="AN181" s="14" t="s">
        <v>166</v>
      </c>
    </row>
    <row r="182" spans="1:40" ht="47.25" x14ac:dyDescent="0.25">
      <c r="A182" s="12" t="s">
        <v>1380</v>
      </c>
      <c r="B182" s="12" t="s">
        <v>1381</v>
      </c>
      <c r="C182" s="12" t="s">
        <v>1133</v>
      </c>
      <c r="D182" s="13" t="s">
        <v>786</v>
      </c>
      <c r="E182" s="13" t="s">
        <v>989</v>
      </c>
      <c r="F182" s="13">
        <v>876</v>
      </c>
      <c r="G182" s="13" t="s">
        <v>41</v>
      </c>
      <c r="H182" s="13" t="s">
        <v>702</v>
      </c>
      <c r="I182" s="12"/>
      <c r="J182" s="13">
        <v>669520555</v>
      </c>
      <c r="K182" s="13"/>
      <c r="L182" s="13" t="s">
        <v>703</v>
      </c>
      <c r="M182" s="14" t="s">
        <v>1074</v>
      </c>
      <c r="N182" s="13" t="s">
        <v>1069</v>
      </c>
      <c r="O182" s="12">
        <v>3</v>
      </c>
      <c r="P182" s="12" t="s">
        <v>174</v>
      </c>
      <c r="Q182" s="12" t="s">
        <v>868</v>
      </c>
      <c r="R182" s="12" t="s">
        <v>174</v>
      </c>
      <c r="S182" s="14" t="s">
        <v>166</v>
      </c>
      <c r="T182" s="12" t="s">
        <v>1110</v>
      </c>
      <c r="U182" s="14" t="s">
        <v>781</v>
      </c>
      <c r="V182" s="14"/>
      <c r="W182" s="14"/>
      <c r="X182" s="12"/>
      <c r="Y182" s="12"/>
      <c r="Z182" s="14"/>
      <c r="AA182" s="12"/>
      <c r="AB182" s="15"/>
      <c r="AC182" s="16">
        <v>0</v>
      </c>
      <c r="AD182" s="16">
        <v>1</v>
      </c>
      <c r="AE182" s="16">
        <v>0</v>
      </c>
      <c r="AF182" s="16">
        <v>0</v>
      </c>
      <c r="AG182" s="16">
        <v>0</v>
      </c>
      <c r="AH182" s="14" t="s">
        <v>166</v>
      </c>
      <c r="AI182" s="54">
        <v>0</v>
      </c>
      <c r="AJ182" s="54">
        <v>1</v>
      </c>
      <c r="AK182" s="54">
        <v>0</v>
      </c>
      <c r="AL182" s="54">
        <v>0</v>
      </c>
      <c r="AM182" s="54">
        <v>0</v>
      </c>
      <c r="AN182" s="14" t="s">
        <v>166</v>
      </c>
    </row>
    <row r="183" spans="1:40" ht="94.5" x14ac:dyDescent="0.25">
      <c r="A183" s="12" t="s">
        <v>1382</v>
      </c>
      <c r="B183" s="12" t="s">
        <v>1383</v>
      </c>
      <c r="C183" s="12" t="s">
        <v>1133</v>
      </c>
      <c r="D183" s="13" t="s">
        <v>115</v>
      </c>
      <c r="E183" s="13" t="s">
        <v>996</v>
      </c>
      <c r="F183" s="13">
        <v>3228</v>
      </c>
      <c r="G183" s="13" t="s">
        <v>41</v>
      </c>
      <c r="H183" s="13" t="s">
        <v>758</v>
      </c>
      <c r="I183" s="12"/>
      <c r="J183" s="13">
        <v>609718923</v>
      </c>
      <c r="K183" s="13"/>
      <c r="L183" s="13" t="s">
        <v>759</v>
      </c>
      <c r="M183" s="14" t="s">
        <v>1074</v>
      </c>
      <c r="N183" s="13" t="s">
        <v>1069</v>
      </c>
      <c r="O183" s="12" t="s">
        <v>53</v>
      </c>
      <c r="P183" s="12" t="s">
        <v>174</v>
      </c>
      <c r="Q183" s="12" t="s">
        <v>868</v>
      </c>
      <c r="R183" s="12" t="s">
        <v>174</v>
      </c>
      <c r="S183" s="14" t="s">
        <v>166</v>
      </c>
      <c r="T183" s="12" t="s">
        <v>1110</v>
      </c>
      <c r="U183" s="14" t="s">
        <v>781</v>
      </c>
      <c r="V183" s="14"/>
      <c r="W183" s="14"/>
      <c r="X183" s="12"/>
      <c r="Y183" s="12"/>
      <c r="Z183" s="14"/>
      <c r="AA183" s="12"/>
      <c r="AB183" s="15"/>
      <c r="AC183" s="16">
        <v>0</v>
      </c>
      <c r="AD183" s="16">
        <v>0</v>
      </c>
      <c r="AE183" s="16">
        <v>1</v>
      </c>
      <c r="AF183" s="16">
        <v>0</v>
      </c>
      <c r="AG183" s="16">
        <v>0</v>
      </c>
      <c r="AH183" s="14" t="s">
        <v>166</v>
      </c>
      <c r="AI183" s="54">
        <v>0</v>
      </c>
      <c r="AJ183" s="54">
        <v>0</v>
      </c>
      <c r="AK183" s="54">
        <v>1</v>
      </c>
      <c r="AL183" s="54">
        <v>0</v>
      </c>
      <c r="AM183" s="54">
        <v>0</v>
      </c>
      <c r="AN183" s="14" t="s">
        <v>166</v>
      </c>
    </row>
    <row r="184" spans="1:40" ht="94.5" x14ac:dyDescent="0.25">
      <c r="A184" s="12" t="s">
        <v>1382</v>
      </c>
      <c r="B184" s="12" t="s">
        <v>1383</v>
      </c>
      <c r="C184" s="12" t="s">
        <v>1133</v>
      </c>
      <c r="D184" s="13" t="s">
        <v>115</v>
      </c>
      <c r="E184" s="13" t="s">
        <v>996</v>
      </c>
      <c r="F184" s="13">
        <v>3984</v>
      </c>
      <c r="G184" s="13" t="s">
        <v>41</v>
      </c>
      <c r="H184" s="13" t="s">
        <v>762</v>
      </c>
      <c r="I184" s="12"/>
      <c r="J184" s="13">
        <v>680807453</v>
      </c>
      <c r="K184" s="13"/>
      <c r="L184" s="13" t="s">
        <v>844</v>
      </c>
      <c r="M184" s="14" t="s">
        <v>1074</v>
      </c>
      <c r="N184" s="13" t="s">
        <v>1069</v>
      </c>
      <c r="O184" s="12" t="s">
        <v>53</v>
      </c>
      <c r="P184" s="12" t="s">
        <v>174</v>
      </c>
      <c r="Q184" s="12" t="s">
        <v>868</v>
      </c>
      <c r="R184" s="12" t="s">
        <v>174</v>
      </c>
      <c r="S184" s="14" t="s">
        <v>166</v>
      </c>
      <c r="T184" s="12" t="s">
        <v>1110</v>
      </c>
      <c r="U184" s="14" t="s">
        <v>781</v>
      </c>
      <c r="V184" s="14"/>
      <c r="W184" s="14"/>
      <c r="X184" s="12"/>
      <c r="Y184" s="12"/>
      <c r="Z184" s="14"/>
      <c r="AA184" s="12"/>
      <c r="AB184" s="15"/>
      <c r="AC184" s="16">
        <v>0</v>
      </c>
      <c r="AD184" s="16">
        <v>0</v>
      </c>
      <c r="AE184" s="16">
        <v>0</v>
      </c>
      <c r="AF184" s="16">
        <v>0</v>
      </c>
      <c r="AG184" s="16">
        <v>1</v>
      </c>
      <c r="AH184" s="14" t="s">
        <v>166</v>
      </c>
      <c r="AI184" s="54">
        <v>0</v>
      </c>
      <c r="AJ184" s="54">
        <v>0</v>
      </c>
      <c r="AK184" s="54">
        <v>0</v>
      </c>
      <c r="AL184" s="54">
        <v>0</v>
      </c>
      <c r="AM184" s="54">
        <v>1</v>
      </c>
      <c r="AN184" s="14" t="s">
        <v>166</v>
      </c>
    </row>
    <row r="185" spans="1:40" ht="94.5" x14ac:dyDescent="0.25">
      <c r="A185" s="12" t="s">
        <v>1384</v>
      </c>
      <c r="B185" s="12" t="s">
        <v>1385</v>
      </c>
      <c r="C185" s="12" t="s">
        <v>1133</v>
      </c>
      <c r="D185" s="13" t="s">
        <v>115</v>
      </c>
      <c r="E185" s="13" t="s">
        <v>997</v>
      </c>
      <c r="F185" s="13">
        <v>3688</v>
      </c>
      <c r="G185" s="13" t="s">
        <v>41</v>
      </c>
      <c r="H185" s="13" t="s">
        <v>714</v>
      </c>
      <c r="I185" s="12"/>
      <c r="J185" s="13">
        <v>689848738</v>
      </c>
      <c r="K185" s="13"/>
      <c r="L185" s="13" t="s">
        <v>715</v>
      </c>
      <c r="M185" s="14" t="s">
        <v>1073</v>
      </c>
      <c r="N185" s="13" t="s">
        <v>1068</v>
      </c>
      <c r="O185" s="12" t="s">
        <v>53</v>
      </c>
      <c r="P185" s="12" t="s">
        <v>174</v>
      </c>
      <c r="Q185" s="12" t="s">
        <v>868</v>
      </c>
      <c r="R185" s="12" t="s">
        <v>174</v>
      </c>
      <c r="S185" s="14" t="s">
        <v>166</v>
      </c>
      <c r="T185" s="12" t="s">
        <v>1110</v>
      </c>
      <c r="U185" s="14" t="s">
        <v>780</v>
      </c>
      <c r="V185" s="14"/>
      <c r="W185" s="14"/>
      <c r="X185" s="12"/>
      <c r="Y185" s="12"/>
      <c r="Z185" s="14"/>
      <c r="AA185" s="12"/>
      <c r="AB185" s="15"/>
      <c r="AC185" s="16">
        <v>0</v>
      </c>
      <c r="AD185" s="16">
        <v>0</v>
      </c>
      <c r="AE185" s="16">
        <v>1</v>
      </c>
      <c r="AF185" s="16">
        <v>0</v>
      </c>
      <c r="AG185" s="16">
        <v>0</v>
      </c>
      <c r="AH185" s="14" t="s">
        <v>166</v>
      </c>
      <c r="AI185" s="54">
        <v>0</v>
      </c>
      <c r="AJ185" s="54">
        <v>0</v>
      </c>
      <c r="AK185" s="54">
        <v>1</v>
      </c>
      <c r="AL185" s="54">
        <v>0</v>
      </c>
      <c r="AM185" s="54">
        <v>0</v>
      </c>
      <c r="AN185" s="14" t="s">
        <v>166</v>
      </c>
    </row>
    <row r="186" spans="1:40" ht="94.5" x14ac:dyDescent="0.25">
      <c r="A186" s="12" t="s">
        <v>1384</v>
      </c>
      <c r="B186" s="12" t="s">
        <v>1385</v>
      </c>
      <c r="C186" s="12" t="s">
        <v>1133</v>
      </c>
      <c r="D186" s="13" t="s">
        <v>115</v>
      </c>
      <c r="E186" s="13" t="s">
        <v>997</v>
      </c>
      <c r="F186" s="13">
        <v>1703</v>
      </c>
      <c r="G186" s="13" t="s">
        <v>41</v>
      </c>
      <c r="H186" s="13" t="s">
        <v>719</v>
      </c>
      <c r="I186" s="12"/>
      <c r="J186" s="13">
        <v>619105242</v>
      </c>
      <c r="K186" s="13"/>
      <c r="L186" s="13" t="s">
        <v>720</v>
      </c>
      <c r="M186" s="14" t="s">
        <v>163</v>
      </c>
      <c r="N186" s="13" t="s">
        <v>162</v>
      </c>
      <c r="O186" s="12" t="s">
        <v>53</v>
      </c>
      <c r="P186" s="12" t="s">
        <v>174</v>
      </c>
      <c r="Q186" s="12" t="s">
        <v>868</v>
      </c>
      <c r="R186" s="12" t="s">
        <v>174</v>
      </c>
      <c r="S186" s="14" t="s">
        <v>166</v>
      </c>
      <c r="T186" s="12" t="s">
        <v>1110</v>
      </c>
      <c r="U186" s="14" t="s">
        <v>1366</v>
      </c>
      <c r="V186" s="14"/>
      <c r="W186" s="14"/>
      <c r="X186" s="12"/>
      <c r="Y186" s="12"/>
      <c r="Z186" s="14"/>
      <c r="AA186" s="12"/>
      <c r="AB186" s="15"/>
      <c r="AC186" s="16">
        <v>0</v>
      </c>
      <c r="AD186" s="16">
        <v>0</v>
      </c>
      <c r="AE186" s="16">
        <v>0</v>
      </c>
      <c r="AF186" s="16">
        <v>1</v>
      </c>
      <c r="AG186" s="16">
        <v>0</v>
      </c>
      <c r="AH186" s="14" t="s">
        <v>166</v>
      </c>
      <c r="AI186" s="54">
        <v>0</v>
      </c>
      <c r="AJ186" s="54">
        <v>0</v>
      </c>
      <c r="AK186" s="54">
        <v>0</v>
      </c>
      <c r="AL186" s="54">
        <v>1</v>
      </c>
      <c r="AM186" s="54">
        <v>0</v>
      </c>
      <c r="AN186" s="14" t="s">
        <v>166</v>
      </c>
    </row>
    <row r="187" spans="1:40" ht="94.5" x14ac:dyDescent="0.25">
      <c r="A187" s="12" t="s">
        <v>1386</v>
      </c>
      <c r="B187" s="12" t="s">
        <v>1387</v>
      </c>
      <c r="C187" s="12" t="s">
        <v>1133</v>
      </c>
      <c r="D187" s="13" t="s">
        <v>115</v>
      </c>
      <c r="E187" s="13" t="s">
        <v>1014</v>
      </c>
      <c r="F187" s="13">
        <v>2339</v>
      </c>
      <c r="G187" s="13" t="s">
        <v>41</v>
      </c>
      <c r="H187" s="13" t="s">
        <v>639</v>
      </c>
      <c r="I187" s="12"/>
      <c r="J187" s="13">
        <v>683705050</v>
      </c>
      <c r="K187" s="13"/>
      <c r="L187" s="13" t="s">
        <v>640</v>
      </c>
      <c r="M187" s="14" t="s">
        <v>153</v>
      </c>
      <c r="N187" s="13" t="s">
        <v>152</v>
      </c>
      <c r="O187" s="12" t="s">
        <v>53</v>
      </c>
      <c r="P187" s="12" t="s">
        <v>174</v>
      </c>
      <c r="Q187" s="12" t="s">
        <v>868</v>
      </c>
      <c r="R187" s="12" t="s">
        <v>174</v>
      </c>
      <c r="S187" s="14" t="s">
        <v>166</v>
      </c>
      <c r="T187" s="12" t="s">
        <v>1110</v>
      </c>
      <c r="U187" s="14" t="s">
        <v>782</v>
      </c>
      <c r="V187" s="14"/>
      <c r="W187" s="14"/>
      <c r="X187" s="12"/>
      <c r="Y187" s="12"/>
      <c r="Z187" s="14"/>
      <c r="AA187" s="12"/>
      <c r="AB187" s="15"/>
      <c r="AC187" s="16">
        <v>0</v>
      </c>
      <c r="AD187" s="16">
        <v>0</v>
      </c>
      <c r="AE187" s="16">
        <v>0</v>
      </c>
      <c r="AF187" s="16">
        <v>0</v>
      </c>
      <c r="AG187" s="16">
        <v>1</v>
      </c>
      <c r="AH187" s="14" t="s">
        <v>166</v>
      </c>
      <c r="AI187" s="54">
        <v>0</v>
      </c>
      <c r="AJ187" s="54">
        <v>0</v>
      </c>
      <c r="AK187" s="54">
        <v>0</v>
      </c>
      <c r="AL187" s="54">
        <v>1</v>
      </c>
      <c r="AM187" s="54">
        <v>1</v>
      </c>
      <c r="AN187" s="14" t="s">
        <v>166</v>
      </c>
    </row>
    <row r="188" spans="1:40" ht="94.5" x14ac:dyDescent="0.25">
      <c r="A188" s="12" t="s">
        <v>1386</v>
      </c>
      <c r="B188" s="12" t="s">
        <v>1387</v>
      </c>
      <c r="C188" s="12" t="s">
        <v>1133</v>
      </c>
      <c r="D188" s="13" t="s">
        <v>115</v>
      </c>
      <c r="E188" s="13" t="s">
        <v>1014</v>
      </c>
      <c r="F188" s="13">
        <v>1886</v>
      </c>
      <c r="G188" s="13" t="s">
        <v>41</v>
      </c>
      <c r="H188" s="13" t="s">
        <v>717</v>
      </c>
      <c r="I188" s="12"/>
      <c r="J188" s="13">
        <v>606674814</v>
      </c>
      <c r="K188" s="13"/>
      <c r="L188" s="13" t="s">
        <v>718</v>
      </c>
      <c r="M188" s="14" t="s">
        <v>155</v>
      </c>
      <c r="N188" s="13" t="s">
        <v>154</v>
      </c>
      <c r="O188" s="12" t="s">
        <v>67</v>
      </c>
      <c r="P188" s="12" t="s">
        <v>174</v>
      </c>
      <c r="Q188" s="12" t="s">
        <v>868</v>
      </c>
      <c r="R188" s="12" t="s">
        <v>174</v>
      </c>
      <c r="S188" s="14" t="s">
        <v>166</v>
      </c>
      <c r="T188" s="12" t="s">
        <v>1110</v>
      </c>
      <c r="U188" s="14" t="s">
        <v>1388</v>
      </c>
      <c r="V188" s="14"/>
      <c r="W188" s="14"/>
      <c r="X188" s="12"/>
      <c r="Y188" s="12"/>
      <c r="Z188" s="14"/>
      <c r="AA188" s="12"/>
      <c r="AB188" s="15"/>
      <c r="AC188" s="16">
        <v>0</v>
      </c>
      <c r="AD188" s="16">
        <v>0</v>
      </c>
      <c r="AE188" s="16">
        <v>0</v>
      </c>
      <c r="AF188" s="16">
        <v>1</v>
      </c>
      <c r="AG188" s="16">
        <v>0</v>
      </c>
      <c r="AH188" s="14" t="s">
        <v>166</v>
      </c>
      <c r="AI188" s="54">
        <v>0</v>
      </c>
      <c r="AJ188" s="54">
        <v>0</v>
      </c>
      <c r="AK188" s="54">
        <v>0</v>
      </c>
      <c r="AL188" s="54">
        <v>1</v>
      </c>
      <c r="AM188" s="54">
        <v>0</v>
      </c>
      <c r="AN188" s="14" t="s">
        <v>166</v>
      </c>
    </row>
    <row r="189" spans="1:40" ht="94.5" x14ac:dyDescent="0.25">
      <c r="A189" s="12" t="s">
        <v>1386</v>
      </c>
      <c r="B189" s="12" t="s">
        <v>1387</v>
      </c>
      <c r="C189" s="12" t="s">
        <v>1133</v>
      </c>
      <c r="D189" s="13" t="s">
        <v>115</v>
      </c>
      <c r="E189" s="13" t="s">
        <v>1014</v>
      </c>
      <c r="F189" s="13">
        <v>4818</v>
      </c>
      <c r="G189" s="13" t="s">
        <v>41</v>
      </c>
      <c r="H189" s="13" t="s">
        <v>543</v>
      </c>
      <c r="I189" s="12"/>
      <c r="J189" s="13">
        <v>649755047</v>
      </c>
      <c r="K189" s="13"/>
      <c r="L189" s="13" t="s">
        <v>940</v>
      </c>
      <c r="M189" s="14" t="s">
        <v>1073</v>
      </c>
      <c r="N189" s="13" t="s">
        <v>1068</v>
      </c>
      <c r="O189" s="12">
        <v>3</v>
      </c>
      <c r="P189" s="12" t="s">
        <v>174</v>
      </c>
      <c r="Q189" s="12" t="s">
        <v>868</v>
      </c>
      <c r="R189" s="12" t="s">
        <v>174</v>
      </c>
      <c r="S189" s="14" t="s">
        <v>166</v>
      </c>
      <c r="T189" s="12" t="s">
        <v>174</v>
      </c>
      <c r="U189" s="14" t="s">
        <v>780</v>
      </c>
      <c r="V189" s="14"/>
      <c r="W189" s="14"/>
      <c r="X189" s="12"/>
      <c r="Y189" s="12"/>
      <c r="Z189" s="14"/>
      <c r="AA189" s="12"/>
      <c r="AB189" s="15"/>
      <c r="AC189" s="16">
        <v>0</v>
      </c>
      <c r="AD189" s="16">
        <v>0</v>
      </c>
      <c r="AE189" s="16">
        <v>0</v>
      </c>
      <c r="AF189" s="16">
        <v>0</v>
      </c>
      <c r="AG189" s="16">
        <v>1</v>
      </c>
      <c r="AH189" s="14" t="s">
        <v>166</v>
      </c>
      <c r="AI189" s="54">
        <v>0</v>
      </c>
      <c r="AJ189" s="54">
        <v>0</v>
      </c>
      <c r="AK189" s="54">
        <v>0</v>
      </c>
      <c r="AL189" s="54">
        <v>1</v>
      </c>
      <c r="AM189" s="54">
        <v>1</v>
      </c>
      <c r="AN189" s="14" t="s">
        <v>166</v>
      </c>
    </row>
    <row r="190" spans="1:40" ht="94.5" x14ac:dyDescent="0.25">
      <c r="A190" s="12" t="s">
        <v>1389</v>
      </c>
      <c r="B190" s="12" t="s">
        <v>1390</v>
      </c>
      <c r="C190" s="12" t="s">
        <v>1133</v>
      </c>
      <c r="D190" s="13" t="s">
        <v>115</v>
      </c>
      <c r="E190" s="13" t="s">
        <v>997</v>
      </c>
      <c r="F190" s="13">
        <v>1787</v>
      </c>
      <c r="G190" s="13" t="s">
        <v>45</v>
      </c>
      <c r="H190" s="13" t="s">
        <v>710</v>
      </c>
      <c r="I190" s="12"/>
      <c r="J190" s="13">
        <v>606961871</v>
      </c>
      <c r="K190" s="13"/>
      <c r="L190" s="13" t="s">
        <v>711</v>
      </c>
      <c r="M190" s="14" t="s">
        <v>157</v>
      </c>
      <c r="N190" s="13" t="s">
        <v>156</v>
      </c>
      <c r="O190" s="12" t="s">
        <v>53</v>
      </c>
      <c r="P190" s="12" t="s">
        <v>1045</v>
      </c>
      <c r="Q190" s="12" t="s">
        <v>174</v>
      </c>
      <c r="R190" s="12" t="s">
        <v>174</v>
      </c>
      <c r="S190" s="14" t="s">
        <v>166</v>
      </c>
      <c r="T190" s="12" t="s">
        <v>1110</v>
      </c>
      <c r="U190" s="14" t="s">
        <v>1111</v>
      </c>
      <c r="V190" s="14"/>
      <c r="W190" s="14"/>
      <c r="X190" s="12"/>
      <c r="Y190" s="12"/>
      <c r="Z190" s="14"/>
      <c r="AA190" s="12"/>
      <c r="AB190" s="15"/>
      <c r="AC190" s="16">
        <v>0</v>
      </c>
      <c r="AD190" s="16">
        <v>0</v>
      </c>
      <c r="AE190" s="16">
        <v>0</v>
      </c>
      <c r="AF190" s="16">
        <v>0</v>
      </c>
      <c r="AG190" s="16">
        <v>0</v>
      </c>
      <c r="AH190" s="14" t="s">
        <v>174</v>
      </c>
      <c r="AI190" s="54">
        <v>0</v>
      </c>
      <c r="AJ190" s="54">
        <v>0</v>
      </c>
      <c r="AK190" s="54">
        <v>0</v>
      </c>
      <c r="AL190" s="54">
        <v>0</v>
      </c>
      <c r="AM190" s="54">
        <v>1</v>
      </c>
      <c r="AN190" s="14" t="s">
        <v>166</v>
      </c>
    </row>
    <row r="191" spans="1:40" ht="94.5" x14ac:dyDescent="0.25">
      <c r="A191" s="12" t="s">
        <v>1389</v>
      </c>
      <c r="B191" s="12" t="s">
        <v>1390</v>
      </c>
      <c r="C191" s="12" t="s">
        <v>1133</v>
      </c>
      <c r="D191" s="13" t="s">
        <v>115</v>
      </c>
      <c r="E191" s="13" t="s">
        <v>997</v>
      </c>
      <c r="F191" s="13">
        <v>864</v>
      </c>
      <c r="G191" s="13" t="s">
        <v>45</v>
      </c>
      <c r="H191" s="13" t="s">
        <v>692</v>
      </c>
      <c r="I191" s="12"/>
      <c r="J191" s="13">
        <v>669522453</v>
      </c>
      <c r="K191" s="13"/>
      <c r="L191" s="13" t="s">
        <v>693</v>
      </c>
      <c r="M191" s="14" t="s">
        <v>157</v>
      </c>
      <c r="N191" s="13" t="s">
        <v>156</v>
      </c>
      <c r="O191" s="12" t="s">
        <v>53</v>
      </c>
      <c r="P191" s="12" t="s">
        <v>174</v>
      </c>
      <c r="Q191" s="12" t="s">
        <v>868</v>
      </c>
      <c r="R191" s="12" t="s">
        <v>174</v>
      </c>
      <c r="S191" s="14" t="s">
        <v>166</v>
      </c>
      <c r="T191" s="12" t="s">
        <v>1110</v>
      </c>
      <c r="U191" s="14" t="s">
        <v>1111</v>
      </c>
      <c r="V191" s="14"/>
      <c r="W191" s="14"/>
      <c r="X191" s="12"/>
      <c r="Y191" s="12"/>
      <c r="Z191" s="14"/>
      <c r="AA191" s="12"/>
      <c r="AB191" s="15"/>
      <c r="AC191" s="16">
        <v>0</v>
      </c>
      <c r="AD191" s="16">
        <v>0</v>
      </c>
      <c r="AE191" s="16">
        <v>0</v>
      </c>
      <c r="AF191" s="16">
        <v>0</v>
      </c>
      <c r="AG191" s="16">
        <v>1</v>
      </c>
      <c r="AH191" s="14" t="s">
        <v>166</v>
      </c>
      <c r="AI191" s="54">
        <v>0</v>
      </c>
      <c r="AJ191" s="54">
        <v>0</v>
      </c>
      <c r="AK191" s="54">
        <v>0</v>
      </c>
      <c r="AL191" s="54">
        <v>0</v>
      </c>
      <c r="AM191" s="54">
        <v>1</v>
      </c>
      <c r="AN191" s="14" t="s">
        <v>166</v>
      </c>
    </row>
    <row r="192" spans="1:40" ht="94.5" x14ac:dyDescent="0.25">
      <c r="A192" s="12" t="s">
        <v>1389</v>
      </c>
      <c r="B192" s="12" t="s">
        <v>1390</v>
      </c>
      <c r="C192" s="12" t="s">
        <v>1133</v>
      </c>
      <c r="D192" s="13" t="s">
        <v>115</v>
      </c>
      <c r="E192" s="13" t="s">
        <v>997</v>
      </c>
      <c r="F192" s="13">
        <v>5469</v>
      </c>
      <c r="G192" s="13" t="s">
        <v>45</v>
      </c>
      <c r="H192" s="13" t="s">
        <v>941</v>
      </c>
      <c r="I192" s="12"/>
      <c r="J192" s="13">
        <v>669743887</v>
      </c>
      <c r="K192" s="13"/>
      <c r="L192" s="13" t="s">
        <v>942</v>
      </c>
      <c r="M192" s="14" t="s">
        <v>1116</v>
      </c>
      <c r="N192" s="13" t="s">
        <v>1107</v>
      </c>
      <c r="O192" s="12" t="s">
        <v>53</v>
      </c>
      <c r="P192" s="12" t="s">
        <v>174</v>
      </c>
      <c r="Q192" s="12" t="s">
        <v>868</v>
      </c>
      <c r="R192" s="12" t="s">
        <v>174</v>
      </c>
      <c r="S192" s="14" t="s">
        <v>166</v>
      </c>
      <c r="T192" s="12" t="s">
        <v>1110</v>
      </c>
      <c r="U192" s="14" t="s">
        <v>1078</v>
      </c>
      <c r="V192" s="14"/>
      <c r="W192" s="14"/>
      <c r="X192" s="12"/>
      <c r="Y192" s="12"/>
      <c r="Z192" s="14"/>
      <c r="AA192" s="12"/>
      <c r="AB192" s="15"/>
      <c r="AC192" s="16">
        <v>0</v>
      </c>
      <c r="AD192" s="16">
        <v>0</v>
      </c>
      <c r="AE192" s="16">
        <v>0</v>
      </c>
      <c r="AF192" s="16">
        <v>0</v>
      </c>
      <c r="AG192" s="16">
        <v>0</v>
      </c>
      <c r="AH192" s="14" t="s">
        <v>174</v>
      </c>
      <c r="AI192" s="54">
        <v>0</v>
      </c>
      <c r="AJ192" s="54">
        <v>0</v>
      </c>
      <c r="AK192" s="54">
        <v>0</v>
      </c>
      <c r="AL192" s="54">
        <v>0</v>
      </c>
      <c r="AM192" s="54">
        <v>1</v>
      </c>
      <c r="AN192" s="14" t="s">
        <v>166</v>
      </c>
    </row>
    <row r="193" spans="1:40" ht="94.5" x14ac:dyDescent="0.25">
      <c r="A193" s="12" t="s">
        <v>1389</v>
      </c>
      <c r="B193" s="12" t="s">
        <v>1390</v>
      </c>
      <c r="C193" s="12" t="s">
        <v>1133</v>
      </c>
      <c r="D193" s="13" t="s">
        <v>115</v>
      </c>
      <c r="E193" s="13" t="s">
        <v>997</v>
      </c>
      <c r="F193" s="13">
        <v>1774</v>
      </c>
      <c r="G193" s="13" t="s">
        <v>45</v>
      </c>
      <c r="H193" s="13" t="s">
        <v>694</v>
      </c>
      <c r="I193" s="12"/>
      <c r="J193" s="13">
        <v>650701538</v>
      </c>
      <c r="K193" s="13"/>
      <c r="L193" s="13" t="s">
        <v>695</v>
      </c>
      <c r="M193" s="14" t="s">
        <v>1077</v>
      </c>
      <c r="N193" s="13" t="s">
        <v>1072</v>
      </c>
      <c r="O193" s="12" t="s">
        <v>53</v>
      </c>
      <c r="P193" s="12" t="s">
        <v>174</v>
      </c>
      <c r="Q193" s="12" t="s">
        <v>868</v>
      </c>
      <c r="R193" s="12" t="s">
        <v>174</v>
      </c>
      <c r="S193" s="14" t="s">
        <v>166</v>
      </c>
      <c r="T193" s="12" t="s">
        <v>1110</v>
      </c>
      <c r="U193" s="14" t="s">
        <v>1391</v>
      </c>
      <c r="V193" s="14"/>
      <c r="W193" s="14"/>
      <c r="X193" s="12"/>
      <c r="Y193" s="12"/>
      <c r="Z193" s="14"/>
      <c r="AA193" s="12"/>
      <c r="AB193" s="15"/>
      <c r="AC193" s="16">
        <v>0</v>
      </c>
      <c r="AD193" s="16">
        <v>0</v>
      </c>
      <c r="AE193" s="16">
        <v>0</v>
      </c>
      <c r="AF193" s="16">
        <v>0</v>
      </c>
      <c r="AG193" s="16">
        <v>0</v>
      </c>
      <c r="AH193" s="14" t="s">
        <v>174</v>
      </c>
      <c r="AI193" s="54">
        <v>0</v>
      </c>
      <c r="AJ193" s="54">
        <v>0</v>
      </c>
      <c r="AK193" s="54">
        <v>0</v>
      </c>
      <c r="AL193" s="54">
        <v>0</v>
      </c>
      <c r="AM193" s="54">
        <v>1</v>
      </c>
      <c r="AN193" s="14" t="s">
        <v>166</v>
      </c>
    </row>
    <row r="194" spans="1:40" ht="94.5" x14ac:dyDescent="0.25">
      <c r="A194" s="12" t="s">
        <v>1392</v>
      </c>
      <c r="B194" s="12" t="s">
        <v>1393</v>
      </c>
      <c r="C194" s="12" t="s">
        <v>1133</v>
      </c>
      <c r="D194" s="13" t="s">
        <v>115</v>
      </c>
      <c r="E194" s="13" t="s">
        <v>996</v>
      </c>
      <c r="F194" s="13">
        <v>3663</v>
      </c>
      <c r="G194" s="13" t="s">
        <v>35</v>
      </c>
      <c r="H194" s="13" t="s">
        <v>730</v>
      </c>
      <c r="I194" s="12"/>
      <c r="J194" s="13">
        <v>689904765</v>
      </c>
      <c r="K194" s="13"/>
      <c r="L194" s="13" t="s">
        <v>731</v>
      </c>
      <c r="M194" s="14" t="s">
        <v>1117</v>
      </c>
      <c r="N194" s="13" t="s">
        <v>1108</v>
      </c>
      <c r="O194" s="12" t="s">
        <v>53</v>
      </c>
      <c r="P194" s="12" t="s">
        <v>174</v>
      </c>
      <c r="Q194" s="12" t="s">
        <v>868</v>
      </c>
      <c r="R194" s="12" t="s">
        <v>174</v>
      </c>
      <c r="S194" s="14" t="s">
        <v>166</v>
      </c>
      <c r="T194" s="12" t="s">
        <v>1110</v>
      </c>
      <c r="U194" s="14" t="s">
        <v>1326</v>
      </c>
      <c r="V194" s="14"/>
      <c r="W194" s="14"/>
      <c r="X194" s="12"/>
      <c r="Y194" s="12"/>
      <c r="Z194" s="14"/>
      <c r="AA194" s="12"/>
      <c r="AB194" s="15"/>
      <c r="AC194" s="16">
        <v>0</v>
      </c>
      <c r="AD194" s="16">
        <v>0</v>
      </c>
      <c r="AE194" s="16">
        <v>0</v>
      </c>
      <c r="AF194" s="16">
        <v>0</v>
      </c>
      <c r="AG194" s="16">
        <v>0</v>
      </c>
      <c r="AH194" s="14" t="s">
        <v>174</v>
      </c>
      <c r="AI194" s="54">
        <v>0</v>
      </c>
      <c r="AJ194" s="54">
        <v>0</v>
      </c>
      <c r="AK194" s="54">
        <v>0</v>
      </c>
      <c r="AL194" s="54">
        <v>1</v>
      </c>
      <c r="AM194" s="54">
        <v>0</v>
      </c>
      <c r="AN194" s="14" t="s">
        <v>166</v>
      </c>
    </row>
    <row r="195" spans="1:40" ht="94.5" x14ac:dyDescent="0.25">
      <c r="A195" s="12" t="s">
        <v>1394</v>
      </c>
      <c r="B195" s="12" t="s">
        <v>1395</v>
      </c>
      <c r="C195" s="12" t="s">
        <v>1133</v>
      </c>
      <c r="D195" s="13" t="s">
        <v>115</v>
      </c>
      <c r="E195" s="13" t="s">
        <v>996</v>
      </c>
      <c r="F195" s="13">
        <v>2296</v>
      </c>
      <c r="G195" s="13" t="s">
        <v>59</v>
      </c>
      <c r="H195" s="13" t="s">
        <v>736</v>
      </c>
      <c r="I195" s="12"/>
      <c r="J195" s="13">
        <v>682441811</v>
      </c>
      <c r="K195" s="13"/>
      <c r="L195" s="13" t="s">
        <v>737</v>
      </c>
      <c r="M195" s="14" t="s">
        <v>163</v>
      </c>
      <c r="N195" s="13" t="s">
        <v>162</v>
      </c>
      <c r="O195" s="12" t="s">
        <v>53</v>
      </c>
      <c r="P195" s="12" t="s">
        <v>174</v>
      </c>
      <c r="Q195" s="12" t="s">
        <v>868</v>
      </c>
      <c r="R195" s="12" t="s">
        <v>174</v>
      </c>
      <c r="S195" s="14" t="s">
        <v>166</v>
      </c>
      <c r="T195" s="12" t="s">
        <v>1110</v>
      </c>
      <c r="U195" s="14" t="s">
        <v>1366</v>
      </c>
      <c r="V195" s="14"/>
      <c r="W195" s="14"/>
      <c r="X195" s="12"/>
      <c r="Y195" s="12"/>
      <c r="Z195" s="14"/>
      <c r="AA195" s="12"/>
      <c r="AB195" s="15"/>
      <c r="AC195" s="16">
        <v>0</v>
      </c>
      <c r="AD195" s="16">
        <v>0</v>
      </c>
      <c r="AE195" s="16">
        <v>0</v>
      </c>
      <c r="AF195" s="16">
        <v>0</v>
      </c>
      <c r="AG195" s="16">
        <v>1</v>
      </c>
      <c r="AH195" s="14" t="s">
        <v>166</v>
      </c>
      <c r="AI195" s="54">
        <v>0</v>
      </c>
      <c r="AJ195" s="54">
        <v>0</v>
      </c>
      <c r="AK195" s="54">
        <v>0</v>
      </c>
      <c r="AL195" s="54">
        <v>0</v>
      </c>
      <c r="AM195" s="54">
        <v>1</v>
      </c>
      <c r="AN195" s="14" t="s">
        <v>166</v>
      </c>
    </row>
    <row r="196" spans="1:40" ht="94.5" x14ac:dyDescent="0.25">
      <c r="A196" s="12" t="s">
        <v>1394</v>
      </c>
      <c r="B196" s="12" t="s">
        <v>1395</v>
      </c>
      <c r="C196" s="12" t="s">
        <v>1133</v>
      </c>
      <c r="D196" s="13" t="s">
        <v>115</v>
      </c>
      <c r="E196" s="13" t="s">
        <v>996</v>
      </c>
      <c r="F196" s="13">
        <v>832</v>
      </c>
      <c r="G196" s="13" t="s">
        <v>59</v>
      </c>
      <c r="H196" s="13" t="s">
        <v>750</v>
      </c>
      <c r="I196" s="12"/>
      <c r="J196" s="13">
        <v>669525742</v>
      </c>
      <c r="K196" s="13"/>
      <c r="L196" s="13" t="s">
        <v>751</v>
      </c>
      <c r="M196" s="14" t="s">
        <v>1116</v>
      </c>
      <c r="N196" s="13" t="s">
        <v>1107</v>
      </c>
      <c r="O196" s="12" t="s">
        <v>53</v>
      </c>
      <c r="P196" s="12" t="s">
        <v>174</v>
      </c>
      <c r="Q196" s="12" t="s">
        <v>868</v>
      </c>
      <c r="R196" s="12" t="s">
        <v>174</v>
      </c>
      <c r="S196" s="14" t="s">
        <v>166</v>
      </c>
      <c r="T196" s="12" t="s">
        <v>1110</v>
      </c>
      <c r="U196" s="14" t="s">
        <v>1078</v>
      </c>
      <c r="V196" s="14"/>
      <c r="W196" s="14"/>
      <c r="X196" s="12"/>
      <c r="Y196" s="12"/>
      <c r="Z196" s="14"/>
      <c r="AA196" s="12"/>
      <c r="AB196" s="15"/>
      <c r="AC196" s="16">
        <v>0</v>
      </c>
      <c r="AD196" s="16">
        <v>0</v>
      </c>
      <c r="AE196" s="16">
        <v>0</v>
      </c>
      <c r="AF196" s="16">
        <v>1</v>
      </c>
      <c r="AG196" s="16">
        <v>0</v>
      </c>
      <c r="AH196" s="14" t="s">
        <v>166</v>
      </c>
      <c r="AI196" s="54">
        <v>0</v>
      </c>
      <c r="AJ196" s="54">
        <v>0</v>
      </c>
      <c r="AK196" s="54">
        <v>0</v>
      </c>
      <c r="AL196" s="54">
        <v>1</v>
      </c>
      <c r="AM196" s="54">
        <v>0</v>
      </c>
      <c r="AN196" s="14" t="s">
        <v>166</v>
      </c>
    </row>
    <row r="197" spans="1:40" ht="94.5" x14ac:dyDescent="0.25">
      <c r="A197" s="12" t="s">
        <v>1396</v>
      </c>
      <c r="B197" s="12" t="s">
        <v>1397</v>
      </c>
      <c r="C197" s="12" t="s">
        <v>1133</v>
      </c>
      <c r="D197" s="13" t="s">
        <v>115</v>
      </c>
      <c r="E197" s="13" t="s">
        <v>996</v>
      </c>
      <c r="F197" s="13">
        <v>3641</v>
      </c>
      <c r="G197" s="13" t="s">
        <v>88</v>
      </c>
      <c r="H197" s="13" t="s">
        <v>760</v>
      </c>
      <c r="I197" s="12"/>
      <c r="J197" s="13">
        <v>681233417</v>
      </c>
      <c r="K197" s="13"/>
      <c r="L197" s="13" t="s">
        <v>761</v>
      </c>
      <c r="M197" s="14" t="s">
        <v>1075</v>
      </c>
      <c r="N197" s="13" t="s">
        <v>1070</v>
      </c>
      <c r="O197" s="12" t="s">
        <v>53</v>
      </c>
      <c r="P197" s="12" t="s">
        <v>174</v>
      </c>
      <c r="Q197" s="12" t="s">
        <v>868</v>
      </c>
      <c r="R197" s="12" t="s">
        <v>174</v>
      </c>
      <c r="S197" s="14" t="s">
        <v>166</v>
      </c>
      <c r="T197" s="12" t="s">
        <v>1110</v>
      </c>
      <c r="U197" s="14" t="s">
        <v>1067</v>
      </c>
      <c r="V197" s="14"/>
      <c r="W197" s="14"/>
      <c r="X197" s="12"/>
      <c r="Y197" s="12"/>
      <c r="Z197" s="14"/>
      <c r="AA197" s="12"/>
      <c r="AB197" s="15"/>
      <c r="AC197" s="16">
        <v>0</v>
      </c>
      <c r="AD197" s="16">
        <v>0</v>
      </c>
      <c r="AE197" s="16">
        <v>0</v>
      </c>
      <c r="AF197" s="16">
        <v>1</v>
      </c>
      <c r="AG197" s="16">
        <v>0</v>
      </c>
      <c r="AH197" s="14" t="s">
        <v>166</v>
      </c>
      <c r="AI197" s="54">
        <v>0</v>
      </c>
      <c r="AJ197" s="54">
        <v>0</v>
      </c>
      <c r="AK197" s="54">
        <v>0</v>
      </c>
      <c r="AL197" s="54">
        <v>1</v>
      </c>
      <c r="AM197" s="54">
        <v>0</v>
      </c>
      <c r="AN197" s="14" t="s">
        <v>166</v>
      </c>
    </row>
    <row r="198" spans="1:40" ht="94.5" x14ac:dyDescent="0.25">
      <c r="A198" s="12" t="s">
        <v>1398</v>
      </c>
      <c r="B198" s="12" t="s">
        <v>1399</v>
      </c>
      <c r="C198" s="12" t="s">
        <v>1133</v>
      </c>
      <c r="D198" s="13" t="s">
        <v>115</v>
      </c>
      <c r="E198" s="13" t="s">
        <v>997</v>
      </c>
      <c r="F198" s="13">
        <v>3376</v>
      </c>
      <c r="G198" s="13" t="s">
        <v>88</v>
      </c>
      <c r="H198" s="13" t="s">
        <v>712</v>
      </c>
      <c r="I198" s="12"/>
      <c r="J198" s="13">
        <v>646747441</v>
      </c>
      <c r="K198" s="13"/>
      <c r="L198" s="13" t="s">
        <v>713</v>
      </c>
      <c r="M198" s="14" t="s">
        <v>1116</v>
      </c>
      <c r="N198" s="13" t="s">
        <v>1107</v>
      </c>
      <c r="O198" s="12" t="s">
        <v>53</v>
      </c>
      <c r="P198" s="12" t="s">
        <v>174</v>
      </c>
      <c r="Q198" s="12" t="s">
        <v>868</v>
      </c>
      <c r="R198" s="12" t="s">
        <v>174</v>
      </c>
      <c r="S198" s="14" t="s">
        <v>166</v>
      </c>
      <c r="T198" s="12" t="s">
        <v>1110</v>
      </c>
      <c r="U198" s="14" t="s">
        <v>1078</v>
      </c>
      <c r="V198" s="14"/>
      <c r="W198" s="14"/>
      <c r="X198" s="12"/>
      <c r="Y198" s="12"/>
      <c r="Z198" s="14"/>
      <c r="AA198" s="12"/>
      <c r="AB198" s="15"/>
      <c r="AC198" s="16">
        <v>0</v>
      </c>
      <c r="AD198" s="16">
        <v>0</v>
      </c>
      <c r="AE198" s="16">
        <v>0</v>
      </c>
      <c r="AF198" s="16">
        <v>1</v>
      </c>
      <c r="AG198" s="16">
        <v>0</v>
      </c>
      <c r="AH198" s="14" t="s">
        <v>166</v>
      </c>
      <c r="AI198" s="54">
        <v>0</v>
      </c>
      <c r="AJ198" s="54">
        <v>0</v>
      </c>
      <c r="AK198" s="54">
        <v>0</v>
      </c>
      <c r="AL198" s="54">
        <v>1</v>
      </c>
      <c r="AM198" s="54">
        <v>0</v>
      </c>
      <c r="AN198" s="14" t="s">
        <v>166</v>
      </c>
    </row>
    <row r="199" spans="1:40" ht="94.5" x14ac:dyDescent="0.25">
      <c r="A199" s="12" t="s">
        <v>1398</v>
      </c>
      <c r="B199" s="12" t="s">
        <v>1399</v>
      </c>
      <c r="C199" s="12" t="s">
        <v>1133</v>
      </c>
      <c r="D199" s="13" t="s">
        <v>115</v>
      </c>
      <c r="E199" s="13" t="s">
        <v>997</v>
      </c>
      <c r="F199" s="13">
        <v>2399</v>
      </c>
      <c r="G199" s="13" t="s">
        <v>88</v>
      </c>
      <c r="H199" s="13" t="s">
        <v>740</v>
      </c>
      <c r="I199" s="12"/>
      <c r="J199" s="13">
        <v>679465647</v>
      </c>
      <c r="K199" s="13"/>
      <c r="L199" s="13" t="s">
        <v>741</v>
      </c>
      <c r="M199" s="14" t="s">
        <v>153</v>
      </c>
      <c r="N199" s="13" t="s">
        <v>152</v>
      </c>
      <c r="O199" s="12" t="s">
        <v>53</v>
      </c>
      <c r="P199" s="12" t="s">
        <v>174</v>
      </c>
      <c r="Q199" s="12" t="s">
        <v>868</v>
      </c>
      <c r="R199" s="12" t="s">
        <v>174</v>
      </c>
      <c r="S199" s="14" t="s">
        <v>166</v>
      </c>
      <c r="T199" s="12" t="s">
        <v>1110</v>
      </c>
      <c r="U199" s="14" t="s">
        <v>782</v>
      </c>
      <c r="V199" s="14"/>
      <c r="W199" s="14"/>
      <c r="X199" s="12"/>
      <c r="Y199" s="12"/>
      <c r="Z199" s="14"/>
      <c r="AA199" s="12"/>
      <c r="AB199" s="15"/>
      <c r="AC199" s="16">
        <v>0</v>
      </c>
      <c r="AD199" s="16">
        <v>0</v>
      </c>
      <c r="AE199" s="16">
        <v>0</v>
      </c>
      <c r="AF199" s="16">
        <v>0</v>
      </c>
      <c r="AG199" s="16">
        <v>0</v>
      </c>
      <c r="AH199" s="14" t="s">
        <v>174</v>
      </c>
      <c r="AI199" s="54">
        <v>0</v>
      </c>
      <c r="AJ199" s="54">
        <v>0</v>
      </c>
      <c r="AK199" s="54">
        <v>0</v>
      </c>
      <c r="AL199" s="54">
        <v>1</v>
      </c>
      <c r="AM199" s="54">
        <v>0</v>
      </c>
      <c r="AN199" s="14" t="s">
        <v>166</v>
      </c>
    </row>
    <row r="200" spans="1:40" ht="94.5" x14ac:dyDescent="0.25">
      <c r="A200" s="12" t="s">
        <v>1400</v>
      </c>
      <c r="B200" s="12" t="s">
        <v>1401</v>
      </c>
      <c r="C200" s="12" t="s">
        <v>1133</v>
      </c>
      <c r="D200" s="13" t="s">
        <v>116</v>
      </c>
      <c r="E200" s="13" t="s">
        <v>1000</v>
      </c>
      <c r="F200" s="13">
        <v>1975</v>
      </c>
      <c r="G200" s="13" t="s">
        <v>46</v>
      </c>
      <c r="H200" s="13" t="s">
        <v>412</v>
      </c>
      <c r="I200" s="12"/>
      <c r="J200" s="13">
        <v>659575998</v>
      </c>
      <c r="K200" s="13"/>
      <c r="L200" s="13" t="s">
        <v>413</v>
      </c>
      <c r="M200" s="14" t="s">
        <v>1073</v>
      </c>
      <c r="N200" s="13" t="s">
        <v>1068</v>
      </c>
      <c r="O200" s="12" t="s">
        <v>53</v>
      </c>
      <c r="P200" s="12" t="s">
        <v>174</v>
      </c>
      <c r="Q200" s="12" t="s">
        <v>868</v>
      </c>
      <c r="R200" s="12" t="s">
        <v>174</v>
      </c>
      <c r="S200" s="14" t="s">
        <v>166</v>
      </c>
      <c r="T200" s="12" t="s">
        <v>1110</v>
      </c>
      <c r="U200" s="14" t="s">
        <v>780</v>
      </c>
      <c r="V200" s="14"/>
      <c r="W200" s="14"/>
      <c r="X200" s="12"/>
      <c r="Y200" s="12"/>
      <c r="Z200" s="14"/>
      <c r="AA200" s="12"/>
      <c r="AB200" s="15"/>
      <c r="AC200" s="16">
        <v>0</v>
      </c>
      <c r="AD200" s="16">
        <v>0</v>
      </c>
      <c r="AE200" s="16">
        <v>1</v>
      </c>
      <c r="AF200" s="16">
        <v>0</v>
      </c>
      <c r="AG200" s="16">
        <v>0</v>
      </c>
      <c r="AH200" s="14" t="s">
        <v>166</v>
      </c>
      <c r="AI200" s="54">
        <v>0</v>
      </c>
      <c r="AJ200" s="54">
        <v>0</v>
      </c>
      <c r="AK200" s="54">
        <v>1</v>
      </c>
      <c r="AL200" s="54">
        <v>0</v>
      </c>
      <c r="AM200" s="54">
        <v>0</v>
      </c>
      <c r="AN200" s="14" t="s">
        <v>166</v>
      </c>
    </row>
    <row r="201" spans="1:40" ht="94.5" x14ac:dyDescent="0.25">
      <c r="A201" s="12" t="s">
        <v>1400</v>
      </c>
      <c r="B201" s="12" t="s">
        <v>1401</v>
      </c>
      <c r="C201" s="12" t="s">
        <v>1133</v>
      </c>
      <c r="D201" s="13" t="s">
        <v>116</v>
      </c>
      <c r="E201" s="13" t="s">
        <v>1000</v>
      </c>
      <c r="F201" s="13">
        <v>1867</v>
      </c>
      <c r="G201" s="13" t="s">
        <v>46</v>
      </c>
      <c r="H201" s="13" t="s">
        <v>400</v>
      </c>
      <c r="I201" s="12"/>
      <c r="J201" s="13">
        <v>689749292</v>
      </c>
      <c r="K201" s="13"/>
      <c r="L201" s="13" t="s">
        <v>401</v>
      </c>
      <c r="M201" s="14" t="s">
        <v>1073</v>
      </c>
      <c r="N201" s="13" t="s">
        <v>1068</v>
      </c>
      <c r="O201" s="12" t="s">
        <v>53</v>
      </c>
      <c r="P201" s="12" t="s">
        <v>174</v>
      </c>
      <c r="Q201" s="12" t="s">
        <v>868</v>
      </c>
      <c r="R201" s="12" t="s">
        <v>174</v>
      </c>
      <c r="S201" s="14" t="s">
        <v>166</v>
      </c>
      <c r="T201" s="12" t="s">
        <v>174</v>
      </c>
      <c r="U201" s="14" t="s">
        <v>780</v>
      </c>
      <c r="V201" s="14"/>
      <c r="W201" s="14"/>
      <c r="X201" s="12"/>
      <c r="Y201" s="12"/>
      <c r="Z201" s="14"/>
      <c r="AA201" s="12"/>
      <c r="AB201" s="15"/>
      <c r="AC201" s="16">
        <v>0</v>
      </c>
      <c r="AD201" s="16">
        <v>0</v>
      </c>
      <c r="AE201" s="16">
        <v>1</v>
      </c>
      <c r="AF201" s="16">
        <v>0</v>
      </c>
      <c r="AG201" s="16">
        <v>0</v>
      </c>
      <c r="AH201" s="14" t="s">
        <v>166</v>
      </c>
      <c r="AI201" s="54">
        <v>0</v>
      </c>
      <c r="AJ201" s="54">
        <v>0</v>
      </c>
      <c r="AK201" s="54">
        <v>1</v>
      </c>
      <c r="AL201" s="54">
        <v>0</v>
      </c>
      <c r="AM201" s="54">
        <v>0</v>
      </c>
      <c r="AN201" s="14" t="s">
        <v>166</v>
      </c>
    </row>
    <row r="202" spans="1:40" ht="94.5" x14ac:dyDescent="0.25">
      <c r="A202" s="12" t="s">
        <v>1402</v>
      </c>
      <c r="B202" s="12" t="s">
        <v>1403</v>
      </c>
      <c r="C202" s="12" t="s">
        <v>1133</v>
      </c>
      <c r="D202" s="13" t="s">
        <v>116</v>
      </c>
      <c r="E202" s="13" t="s">
        <v>995</v>
      </c>
      <c r="F202" s="13" t="s">
        <v>47</v>
      </c>
      <c r="G202" s="13" t="s">
        <v>48</v>
      </c>
      <c r="H202" s="13" t="s">
        <v>117</v>
      </c>
      <c r="I202" s="12"/>
      <c r="J202" s="13"/>
      <c r="K202" s="13"/>
      <c r="L202" s="13"/>
      <c r="M202" s="14"/>
      <c r="N202" s="13"/>
      <c r="O202" s="12"/>
      <c r="P202" s="12" t="s">
        <v>1184</v>
      </c>
      <c r="Q202" s="12" t="s">
        <v>1184</v>
      </c>
      <c r="R202" s="12" t="s">
        <v>1184</v>
      </c>
      <c r="S202" s="14"/>
      <c r="T202" s="12"/>
      <c r="U202" s="14"/>
      <c r="V202" s="14"/>
      <c r="W202" s="14"/>
      <c r="X202" s="12"/>
      <c r="Y202" s="12"/>
      <c r="Z202" s="14"/>
      <c r="AA202" s="12"/>
      <c r="AB202" s="15"/>
      <c r="AC202" s="16" t="s">
        <v>111</v>
      </c>
      <c r="AD202" s="16" t="s">
        <v>111</v>
      </c>
      <c r="AE202" s="16" t="s">
        <v>111</v>
      </c>
      <c r="AF202" s="16" t="s">
        <v>111</v>
      </c>
      <c r="AG202" s="16" t="s">
        <v>111</v>
      </c>
      <c r="AH202" s="14" t="s">
        <v>1149</v>
      </c>
      <c r="AI202" s="54">
        <v>0</v>
      </c>
      <c r="AJ202" s="54">
        <v>0</v>
      </c>
      <c r="AK202" s="54">
        <v>0</v>
      </c>
      <c r="AL202" s="54">
        <v>0</v>
      </c>
      <c r="AM202" s="54">
        <v>0</v>
      </c>
      <c r="AN202" s="14" t="s">
        <v>1149</v>
      </c>
    </row>
    <row r="203" spans="1:40" ht="47.25" x14ac:dyDescent="0.25">
      <c r="A203" s="12" t="s">
        <v>1404</v>
      </c>
      <c r="B203" s="12" t="s">
        <v>1405</v>
      </c>
      <c r="C203" s="12" t="s">
        <v>1124</v>
      </c>
      <c r="D203" s="13" t="s">
        <v>26</v>
      </c>
      <c r="E203" s="13" t="s">
        <v>26</v>
      </c>
      <c r="F203" s="13">
        <v>5000</v>
      </c>
      <c r="G203" s="13" t="s">
        <v>27</v>
      </c>
      <c r="H203" s="13" t="s">
        <v>814</v>
      </c>
      <c r="I203" s="12"/>
      <c r="J203" s="13">
        <v>672796670</v>
      </c>
      <c r="K203" s="13"/>
      <c r="L203" s="13" t="s">
        <v>815</v>
      </c>
      <c r="M203" s="14" t="s">
        <v>1073</v>
      </c>
      <c r="N203" s="13" t="s">
        <v>1068</v>
      </c>
      <c r="O203" s="12">
        <v>3</v>
      </c>
      <c r="P203" s="12" t="s">
        <v>174</v>
      </c>
      <c r="Q203" s="12" t="s">
        <v>868</v>
      </c>
      <c r="R203" s="12" t="s">
        <v>174</v>
      </c>
      <c r="S203" s="14" t="s">
        <v>166</v>
      </c>
      <c r="T203" s="12" t="s">
        <v>1110</v>
      </c>
      <c r="U203" s="14" t="s">
        <v>780</v>
      </c>
      <c r="V203" s="14"/>
      <c r="W203" s="14"/>
      <c r="X203" s="12"/>
      <c r="Y203" s="12"/>
      <c r="Z203" s="14"/>
      <c r="AA203" s="12"/>
      <c r="AB203" s="15"/>
      <c r="AC203" s="16" t="s">
        <v>111</v>
      </c>
      <c r="AD203" s="16" t="s">
        <v>111</v>
      </c>
      <c r="AE203" s="16" t="s">
        <v>111</v>
      </c>
      <c r="AF203" s="16" t="s">
        <v>111</v>
      </c>
      <c r="AG203" s="16" t="s">
        <v>111</v>
      </c>
      <c r="AH203" s="14" t="s">
        <v>1149</v>
      </c>
      <c r="AI203" s="54">
        <v>0</v>
      </c>
      <c r="AJ203" s="54">
        <v>0</v>
      </c>
      <c r="AK203" s="54">
        <v>0</v>
      </c>
      <c r="AL203" s="54">
        <v>0</v>
      </c>
      <c r="AM203" s="54">
        <v>1</v>
      </c>
      <c r="AN203" s="14" t="s">
        <v>166</v>
      </c>
    </row>
    <row r="204" spans="1:40" ht="47.25" x14ac:dyDescent="0.25">
      <c r="A204" s="12" t="s">
        <v>1406</v>
      </c>
      <c r="B204" s="12" t="s">
        <v>1407</v>
      </c>
      <c r="C204" s="12" t="s">
        <v>1124</v>
      </c>
      <c r="D204" s="13" t="s">
        <v>28</v>
      </c>
      <c r="E204" s="13" t="s">
        <v>28</v>
      </c>
      <c r="F204" s="13">
        <v>5000</v>
      </c>
      <c r="G204" s="13" t="s">
        <v>29</v>
      </c>
      <c r="H204" s="13" t="s">
        <v>814</v>
      </c>
      <c r="I204" s="12"/>
      <c r="J204" s="13">
        <v>672796670</v>
      </c>
      <c r="K204" s="13"/>
      <c r="L204" s="13" t="s">
        <v>815</v>
      </c>
      <c r="M204" s="14" t="s">
        <v>1073</v>
      </c>
      <c r="N204" s="13" t="s">
        <v>1068</v>
      </c>
      <c r="O204" s="12">
        <v>3</v>
      </c>
      <c r="P204" s="12" t="s">
        <v>174</v>
      </c>
      <c r="Q204" s="12" t="s">
        <v>868</v>
      </c>
      <c r="R204" s="12" t="s">
        <v>174</v>
      </c>
      <c r="S204" s="14" t="s">
        <v>166</v>
      </c>
      <c r="T204" s="12" t="s">
        <v>1110</v>
      </c>
      <c r="U204" s="14" t="s">
        <v>780</v>
      </c>
      <c r="V204" s="14"/>
      <c r="W204" s="14"/>
      <c r="X204" s="12"/>
      <c r="Y204" s="12"/>
      <c r="Z204" s="14"/>
      <c r="AA204" s="12"/>
      <c r="AB204" s="15"/>
      <c r="AC204" s="16" t="s">
        <v>111</v>
      </c>
      <c r="AD204" s="16">
        <v>0</v>
      </c>
      <c r="AE204" s="16">
        <v>0</v>
      </c>
      <c r="AF204" s="16">
        <v>0</v>
      </c>
      <c r="AG204" s="16">
        <v>1</v>
      </c>
      <c r="AH204" s="14" t="s">
        <v>1149</v>
      </c>
      <c r="AI204" s="54">
        <v>0</v>
      </c>
      <c r="AJ204" s="54">
        <v>1</v>
      </c>
      <c r="AK204" s="54">
        <v>1</v>
      </c>
      <c r="AL204" s="54">
        <v>1</v>
      </c>
      <c r="AM204" s="54">
        <v>1</v>
      </c>
      <c r="AN204" s="14" t="s">
        <v>166</v>
      </c>
    </row>
    <row r="205" spans="1:40" ht="47.25" x14ac:dyDescent="0.25">
      <c r="A205" s="12" t="s">
        <v>1408</v>
      </c>
      <c r="B205" s="12" t="s">
        <v>1409</v>
      </c>
      <c r="C205" s="12" t="s">
        <v>1124</v>
      </c>
      <c r="D205" s="13" t="s">
        <v>30</v>
      </c>
      <c r="E205" s="13" t="s">
        <v>30</v>
      </c>
      <c r="F205" s="13">
        <v>5364</v>
      </c>
      <c r="G205" s="13" t="s">
        <v>31</v>
      </c>
      <c r="H205" s="13" t="s">
        <v>881</v>
      </c>
      <c r="I205" s="12"/>
      <c r="J205" s="13">
        <v>682924200</v>
      </c>
      <c r="K205" s="13"/>
      <c r="L205" s="13" t="s">
        <v>882</v>
      </c>
      <c r="M205" s="14" t="s">
        <v>1073</v>
      </c>
      <c r="N205" s="13" t="s">
        <v>1068</v>
      </c>
      <c r="O205" s="12">
        <v>3</v>
      </c>
      <c r="P205" s="12" t="s">
        <v>174</v>
      </c>
      <c r="Q205" s="12" t="s">
        <v>868</v>
      </c>
      <c r="R205" s="12" t="s">
        <v>174</v>
      </c>
      <c r="S205" s="14" t="s">
        <v>166</v>
      </c>
      <c r="T205" s="12" t="s">
        <v>1110</v>
      </c>
      <c r="U205" s="14" t="s">
        <v>780</v>
      </c>
      <c r="V205" s="14"/>
      <c r="W205" s="14"/>
      <c r="X205" s="12"/>
      <c r="Y205" s="12"/>
      <c r="Z205" s="14"/>
      <c r="AA205" s="12"/>
      <c r="AB205" s="15"/>
      <c r="AC205" s="16" t="s">
        <v>111</v>
      </c>
      <c r="AD205" s="16">
        <v>0</v>
      </c>
      <c r="AE205" s="16">
        <v>0</v>
      </c>
      <c r="AF205" s="16">
        <v>0</v>
      </c>
      <c r="AG205" s="16">
        <v>1</v>
      </c>
      <c r="AH205" s="14" t="s">
        <v>1149</v>
      </c>
      <c r="AI205" s="54">
        <v>0</v>
      </c>
      <c r="AJ205" s="54">
        <v>0</v>
      </c>
      <c r="AK205" s="54">
        <v>0</v>
      </c>
      <c r="AL205" s="54">
        <v>1</v>
      </c>
      <c r="AM205" s="54">
        <v>1</v>
      </c>
      <c r="AN205" s="14" t="s">
        <v>166</v>
      </c>
    </row>
    <row r="206" spans="1:40" ht="47.25" x14ac:dyDescent="0.25">
      <c r="A206" s="12" t="s">
        <v>1410</v>
      </c>
      <c r="B206" s="12" t="s">
        <v>1411</v>
      </c>
      <c r="C206" s="12" t="s">
        <v>1124</v>
      </c>
      <c r="D206" s="13" t="s">
        <v>1084</v>
      </c>
      <c r="E206" s="13" t="s">
        <v>993</v>
      </c>
      <c r="F206" s="13">
        <v>3975</v>
      </c>
      <c r="G206" s="13" t="s">
        <v>34</v>
      </c>
      <c r="H206" s="13" t="s">
        <v>828</v>
      </c>
      <c r="I206" s="12"/>
      <c r="J206" s="13">
        <v>682344114</v>
      </c>
      <c r="K206" s="13"/>
      <c r="L206" s="13" t="s">
        <v>397</v>
      </c>
      <c r="M206" s="14" t="s">
        <v>1073</v>
      </c>
      <c r="N206" s="13" t="s">
        <v>1068</v>
      </c>
      <c r="O206" s="12">
        <v>3</v>
      </c>
      <c r="P206" s="12" t="s">
        <v>174</v>
      </c>
      <c r="Q206" s="12" t="s">
        <v>868</v>
      </c>
      <c r="R206" s="12" t="s">
        <v>174</v>
      </c>
      <c r="S206" s="14" t="s">
        <v>166</v>
      </c>
      <c r="T206" s="12" t="s">
        <v>1110</v>
      </c>
      <c r="U206" s="14" t="s">
        <v>780</v>
      </c>
      <c r="V206" s="14"/>
      <c r="W206" s="14"/>
      <c r="X206" s="12"/>
      <c r="Y206" s="12"/>
      <c r="Z206" s="14"/>
      <c r="AA206" s="12"/>
      <c r="AB206" s="15"/>
      <c r="AC206" s="16">
        <v>0</v>
      </c>
      <c r="AD206" s="16">
        <v>0</v>
      </c>
      <c r="AE206" s="16">
        <v>0</v>
      </c>
      <c r="AF206" s="16">
        <v>0</v>
      </c>
      <c r="AG206" s="16">
        <v>1</v>
      </c>
      <c r="AH206" s="14" t="s">
        <v>166</v>
      </c>
      <c r="AI206" s="54">
        <v>0</v>
      </c>
      <c r="AJ206" s="54">
        <v>0</v>
      </c>
      <c r="AK206" s="54">
        <v>0</v>
      </c>
      <c r="AL206" s="54">
        <v>1</v>
      </c>
      <c r="AM206" s="54">
        <v>1</v>
      </c>
      <c r="AN206" s="14" t="s">
        <v>166</v>
      </c>
    </row>
    <row r="207" spans="1:40" ht="47.25" x14ac:dyDescent="0.25">
      <c r="A207" s="12" t="s">
        <v>1412</v>
      </c>
      <c r="B207" s="12" t="s">
        <v>1413</v>
      </c>
      <c r="C207" s="12" t="s">
        <v>1124</v>
      </c>
      <c r="D207" s="13" t="s">
        <v>1081</v>
      </c>
      <c r="E207" s="13" t="s">
        <v>991</v>
      </c>
      <c r="F207" s="13">
        <v>3043</v>
      </c>
      <c r="G207" s="13" t="s">
        <v>55</v>
      </c>
      <c r="H207" s="13" t="s">
        <v>403</v>
      </c>
      <c r="I207" s="12"/>
      <c r="J207" s="13">
        <v>682818901</v>
      </c>
      <c r="K207" s="13"/>
      <c r="L207" s="13" t="s">
        <v>404</v>
      </c>
      <c r="M207" s="14" t="s">
        <v>1073</v>
      </c>
      <c r="N207" s="13" t="s">
        <v>1068</v>
      </c>
      <c r="O207" s="12">
        <v>3</v>
      </c>
      <c r="P207" s="12" t="s">
        <v>174</v>
      </c>
      <c r="Q207" s="12" t="s">
        <v>174</v>
      </c>
      <c r="R207" s="12" t="s">
        <v>174</v>
      </c>
      <c r="S207" s="14" t="s">
        <v>166</v>
      </c>
      <c r="T207" s="12" t="s">
        <v>1110</v>
      </c>
      <c r="U207" s="14" t="s">
        <v>780</v>
      </c>
      <c r="V207" s="14"/>
      <c r="W207" s="14"/>
      <c r="X207" s="12"/>
      <c r="Y207" s="12"/>
      <c r="Z207" s="14"/>
      <c r="AA207" s="12"/>
      <c r="AB207" s="15"/>
      <c r="AC207" s="16">
        <v>0</v>
      </c>
      <c r="AD207" s="16">
        <v>0</v>
      </c>
      <c r="AE207" s="16">
        <v>0</v>
      </c>
      <c r="AF207" s="16">
        <v>0</v>
      </c>
      <c r="AG207" s="16">
        <v>1</v>
      </c>
      <c r="AH207" s="14" t="s">
        <v>166</v>
      </c>
      <c r="AI207" s="54">
        <v>0</v>
      </c>
      <c r="AJ207" s="54">
        <v>0</v>
      </c>
      <c r="AK207" s="54">
        <v>0</v>
      </c>
      <c r="AL207" s="54">
        <v>1</v>
      </c>
      <c r="AM207" s="54">
        <v>1</v>
      </c>
      <c r="AN207" s="14" t="s">
        <v>166</v>
      </c>
    </row>
    <row r="208" spans="1:40" ht="47.25" x14ac:dyDescent="0.25">
      <c r="A208" s="12" t="s">
        <v>1412</v>
      </c>
      <c r="B208" s="12" t="s">
        <v>1413</v>
      </c>
      <c r="C208" s="12" t="s">
        <v>1124</v>
      </c>
      <c r="D208" s="13" t="s">
        <v>1081</v>
      </c>
      <c r="E208" s="13" t="s">
        <v>991</v>
      </c>
      <c r="F208" s="13">
        <v>3327</v>
      </c>
      <c r="G208" s="13" t="s">
        <v>55</v>
      </c>
      <c r="H208" s="13" t="s">
        <v>405</v>
      </c>
      <c r="I208" s="12"/>
      <c r="J208" s="13">
        <v>680840807</v>
      </c>
      <c r="K208" s="13"/>
      <c r="L208" s="13" t="s">
        <v>406</v>
      </c>
      <c r="M208" s="14" t="s">
        <v>1073</v>
      </c>
      <c r="N208" s="13" t="s">
        <v>1068</v>
      </c>
      <c r="O208" s="12">
        <v>3</v>
      </c>
      <c r="P208" s="12" t="s">
        <v>174</v>
      </c>
      <c r="Q208" s="12" t="s">
        <v>868</v>
      </c>
      <c r="R208" s="12" t="s">
        <v>174</v>
      </c>
      <c r="S208" s="14" t="s">
        <v>166</v>
      </c>
      <c r="T208" s="12" t="s">
        <v>1110</v>
      </c>
      <c r="U208" s="14" t="s">
        <v>780</v>
      </c>
      <c r="V208" s="14"/>
      <c r="W208" s="14"/>
      <c r="X208" s="12"/>
      <c r="Y208" s="12"/>
      <c r="Z208" s="14"/>
      <c r="AA208" s="12"/>
      <c r="AB208" s="15"/>
      <c r="AC208" s="16">
        <v>0</v>
      </c>
      <c r="AD208" s="16">
        <v>0</v>
      </c>
      <c r="AE208" s="16">
        <v>0</v>
      </c>
      <c r="AF208" s="16">
        <v>0</v>
      </c>
      <c r="AG208" s="16">
        <v>1</v>
      </c>
      <c r="AH208" s="14" t="s">
        <v>166</v>
      </c>
      <c r="AI208" s="54">
        <v>0</v>
      </c>
      <c r="AJ208" s="54">
        <v>0</v>
      </c>
      <c r="AK208" s="54">
        <v>0</v>
      </c>
      <c r="AL208" s="54">
        <v>1</v>
      </c>
      <c r="AM208" s="54">
        <v>1</v>
      </c>
      <c r="AN208" s="14" t="s">
        <v>166</v>
      </c>
    </row>
    <row r="209" spans="1:40" ht="47.25" x14ac:dyDescent="0.25">
      <c r="A209" s="12" t="s">
        <v>1412</v>
      </c>
      <c r="B209" s="12" t="s">
        <v>1413</v>
      </c>
      <c r="C209" s="12" t="s">
        <v>1124</v>
      </c>
      <c r="D209" s="13" t="s">
        <v>1081</v>
      </c>
      <c r="E209" s="13" t="s">
        <v>991</v>
      </c>
      <c r="F209" s="13">
        <v>1953</v>
      </c>
      <c r="G209" s="13" t="s">
        <v>55</v>
      </c>
      <c r="H209" s="13" t="s">
        <v>584</v>
      </c>
      <c r="I209" s="12"/>
      <c r="J209" s="13">
        <v>630056931</v>
      </c>
      <c r="K209" s="13"/>
      <c r="L209" s="13" t="s">
        <v>585</v>
      </c>
      <c r="M209" s="14" t="s">
        <v>1073</v>
      </c>
      <c r="N209" s="13" t="s">
        <v>1068</v>
      </c>
      <c r="O209" s="12">
        <v>3</v>
      </c>
      <c r="P209" s="12" t="s">
        <v>174</v>
      </c>
      <c r="Q209" s="12" t="s">
        <v>868</v>
      </c>
      <c r="R209" s="12" t="s">
        <v>174</v>
      </c>
      <c r="S209" s="14" t="s">
        <v>166</v>
      </c>
      <c r="T209" s="12" t="s">
        <v>1110</v>
      </c>
      <c r="U209" s="14" t="s">
        <v>780</v>
      </c>
      <c r="V209" s="14"/>
      <c r="W209" s="14"/>
      <c r="X209" s="12"/>
      <c r="Y209" s="12"/>
      <c r="Z209" s="14"/>
      <c r="AA209" s="12"/>
      <c r="AB209" s="15"/>
      <c r="AC209" s="16">
        <v>0</v>
      </c>
      <c r="AD209" s="16">
        <v>0</v>
      </c>
      <c r="AE209" s="16">
        <v>0</v>
      </c>
      <c r="AF209" s="16">
        <v>0</v>
      </c>
      <c r="AG209" s="16">
        <v>1</v>
      </c>
      <c r="AH209" s="14" t="s">
        <v>166</v>
      </c>
      <c r="AI209" s="54">
        <v>0</v>
      </c>
      <c r="AJ209" s="54">
        <v>0</v>
      </c>
      <c r="AK209" s="54">
        <v>0</v>
      </c>
      <c r="AL209" s="54">
        <v>1</v>
      </c>
      <c r="AM209" s="54">
        <v>1</v>
      </c>
      <c r="AN209" s="14" t="s">
        <v>166</v>
      </c>
    </row>
    <row r="210" spans="1:40" ht="47.25" x14ac:dyDescent="0.25">
      <c r="A210" s="12" t="s">
        <v>1414</v>
      </c>
      <c r="B210" s="12" t="s">
        <v>1415</v>
      </c>
      <c r="C210" s="12" t="s">
        <v>1124</v>
      </c>
      <c r="D210" s="13" t="s">
        <v>1082</v>
      </c>
      <c r="E210" s="13" t="s">
        <v>992</v>
      </c>
      <c r="F210" s="13">
        <v>5380</v>
      </c>
      <c r="G210" s="13" t="s">
        <v>55</v>
      </c>
      <c r="H210" s="13" t="s">
        <v>886</v>
      </c>
      <c r="I210" s="12"/>
      <c r="J210" s="13">
        <v>659791855</v>
      </c>
      <c r="K210" s="13"/>
      <c r="L210" s="13" t="s">
        <v>887</v>
      </c>
      <c r="M210" s="14" t="s">
        <v>1073</v>
      </c>
      <c r="N210" s="13" t="s">
        <v>1068</v>
      </c>
      <c r="O210" s="12">
        <v>3</v>
      </c>
      <c r="P210" s="12" t="s">
        <v>174</v>
      </c>
      <c r="Q210" s="12" t="s">
        <v>868</v>
      </c>
      <c r="R210" s="12" t="s">
        <v>174</v>
      </c>
      <c r="S210" s="14" t="s">
        <v>166</v>
      </c>
      <c r="T210" s="12" t="s">
        <v>1110</v>
      </c>
      <c r="U210" s="14" t="s">
        <v>780</v>
      </c>
      <c r="V210" s="14"/>
      <c r="W210" s="14"/>
      <c r="X210" s="12"/>
      <c r="Y210" s="12"/>
      <c r="Z210" s="14"/>
      <c r="AA210" s="12"/>
      <c r="AB210" s="15"/>
      <c r="AC210" s="16">
        <v>0</v>
      </c>
      <c r="AD210" s="16">
        <v>0</v>
      </c>
      <c r="AE210" s="16">
        <v>0</v>
      </c>
      <c r="AF210" s="16">
        <v>0</v>
      </c>
      <c r="AG210" s="16">
        <v>1</v>
      </c>
      <c r="AH210" s="14" t="s">
        <v>166</v>
      </c>
      <c r="AI210" s="54">
        <v>0</v>
      </c>
      <c r="AJ210" s="54">
        <v>0</v>
      </c>
      <c r="AK210" s="54">
        <v>0</v>
      </c>
      <c r="AL210" s="54">
        <v>1</v>
      </c>
      <c r="AM210" s="54">
        <v>1</v>
      </c>
      <c r="AN210" s="14" t="s">
        <v>166</v>
      </c>
    </row>
    <row r="211" spans="1:40" ht="47.25" x14ac:dyDescent="0.25">
      <c r="A211" s="12" t="s">
        <v>1416</v>
      </c>
      <c r="B211" s="12" t="s">
        <v>1417</v>
      </c>
      <c r="C211" s="12" t="s">
        <v>1124</v>
      </c>
      <c r="D211" s="13" t="s">
        <v>1082</v>
      </c>
      <c r="E211" s="13" t="s">
        <v>990</v>
      </c>
      <c r="F211" s="13">
        <v>5703</v>
      </c>
      <c r="G211" s="13" t="s">
        <v>55</v>
      </c>
      <c r="H211" s="13" t="s">
        <v>879</v>
      </c>
      <c r="I211" s="12"/>
      <c r="J211" s="13">
        <v>690213029</v>
      </c>
      <c r="K211" s="13"/>
      <c r="L211" s="13" t="s">
        <v>880</v>
      </c>
      <c r="M211" s="14" t="s">
        <v>1073</v>
      </c>
      <c r="N211" s="13" t="s">
        <v>1068</v>
      </c>
      <c r="O211" s="12">
        <v>3</v>
      </c>
      <c r="P211" s="12" t="s">
        <v>174</v>
      </c>
      <c r="Q211" s="12" t="s">
        <v>868</v>
      </c>
      <c r="R211" s="12" t="s">
        <v>174</v>
      </c>
      <c r="S211" s="14" t="s">
        <v>166</v>
      </c>
      <c r="T211" s="12" t="s">
        <v>1110</v>
      </c>
      <c r="U211" s="14" t="s">
        <v>780</v>
      </c>
      <c r="V211" s="14"/>
      <c r="W211" s="14"/>
      <c r="X211" s="12"/>
      <c r="Y211" s="12"/>
      <c r="Z211" s="14"/>
      <c r="AA211" s="12"/>
      <c r="AB211" s="15"/>
      <c r="AC211" s="16">
        <v>0</v>
      </c>
      <c r="AD211" s="16">
        <v>0</v>
      </c>
      <c r="AE211" s="16">
        <v>0</v>
      </c>
      <c r="AF211" s="16">
        <v>0</v>
      </c>
      <c r="AG211" s="16">
        <v>1</v>
      </c>
      <c r="AH211" s="14" t="s">
        <v>166</v>
      </c>
      <c r="AI211" s="54">
        <v>0</v>
      </c>
      <c r="AJ211" s="54">
        <v>0</v>
      </c>
      <c r="AK211" s="54">
        <v>0</v>
      </c>
      <c r="AL211" s="54">
        <v>1</v>
      </c>
      <c r="AM211" s="54">
        <v>1</v>
      </c>
      <c r="AN211" s="14" t="s">
        <v>166</v>
      </c>
    </row>
    <row r="212" spans="1:40" ht="47.25" x14ac:dyDescent="0.25">
      <c r="A212" s="12" t="s">
        <v>1418</v>
      </c>
      <c r="B212" s="12" t="s">
        <v>1419</v>
      </c>
      <c r="C212" s="12" t="s">
        <v>1124</v>
      </c>
      <c r="D212" s="13" t="s">
        <v>1083</v>
      </c>
      <c r="E212" s="13" t="s">
        <v>990</v>
      </c>
      <c r="F212" s="13">
        <v>5364</v>
      </c>
      <c r="G212" s="13" t="s">
        <v>55</v>
      </c>
      <c r="H212" s="13" t="s">
        <v>881</v>
      </c>
      <c r="I212" s="12"/>
      <c r="J212" s="13">
        <v>682924200</v>
      </c>
      <c r="K212" s="13"/>
      <c r="L212" s="13" t="s">
        <v>882</v>
      </c>
      <c r="M212" s="14" t="s">
        <v>1073</v>
      </c>
      <c r="N212" s="13" t="s">
        <v>1068</v>
      </c>
      <c r="O212" s="12">
        <v>3</v>
      </c>
      <c r="P212" s="12" t="s">
        <v>174</v>
      </c>
      <c r="Q212" s="12" t="s">
        <v>868</v>
      </c>
      <c r="R212" s="12" t="s">
        <v>174</v>
      </c>
      <c r="S212" s="14" t="s">
        <v>166</v>
      </c>
      <c r="T212" s="12" t="s">
        <v>1110</v>
      </c>
      <c r="U212" s="14" t="s">
        <v>780</v>
      </c>
      <c r="V212" s="14"/>
      <c r="W212" s="14"/>
      <c r="X212" s="12"/>
      <c r="Y212" s="12"/>
      <c r="Z212" s="14"/>
      <c r="AA212" s="12"/>
      <c r="AB212" s="15"/>
      <c r="AC212" s="16">
        <v>0</v>
      </c>
      <c r="AD212" s="16">
        <v>0</v>
      </c>
      <c r="AE212" s="16">
        <v>0</v>
      </c>
      <c r="AF212" s="16">
        <v>0</v>
      </c>
      <c r="AG212" s="16">
        <v>1</v>
      </c>
      <c r="AH212" s="14" t="s">
        <v>166</v>
      </c>
      <c r="AI212" s="54">
        <v>0</v>
      </c>
      <c r="AJ212" s="54">
        <v>0</v>
      </c>
      <c r="AK212" s="54">
        <v>0</v>
      </c>
      <c r="AL212" s="54">
        <v>1</v>
      </c>
      <c r="AM212" s="54">
        <v>1</v>
      </c>
      <c r="AN212" s="14" t="s">
        <v>166</v>
      </c>
    </row>
    <row r="213" spans="1:40" ht="110.25" x14ac:dyDescent="0.25">
      <c r="A213" s="12" t="s">
        <v>1420</v>
      </c>
      <c r="B213" s="12" t="s">
        <v>1421</v>
      </c>
      <c r="C213" s="12" t="s">
        <v>1124</v>
      </c>
      <c r="D213" s="13" t="s">
        <v>1080</v>
      </c>
      <c r="E213" s="13" t="s">
        <v>1016</v>
      </c>
      <c r="F213" s="13">
        <v>5000</v>
      </c>
      <c r="G213" s="13" t="s">
        <v>55</v>
      </c>
      <c r="H213" s="13" t="s">
        <v>814</v>
      </c>
      <c r="I213" s="12"/>
      <c r="J213" s="13">
        <v>672796670</v>
      </c>
      <c r="K213" s="13"/>
      <c r="L213" s="13" t="s">
        <v>815</v>
      </c>
      <c r="M213" s="14" t="s">
        <v>1073</v>
      </c>
      <c r="N213" s="13" t="s">
        <v>1068</v>
      </c>
      <c r="O213" s="12">
        <v>3</v>
      </c>
      <c r="P213" s="12" t="s">
        <v>174</v>
      </c>
      <c r="Q213" s="12" t="s">
        <v>868</v>
      </c>
      <c r="R213" s="12" t="s">
        <v>174</v>
      </c>
      <c r="S213" s="14" t="s">
        <v>166</v>
      </c>
      <c r="T213" s="12" t="s">
        <v>1110</v>
      </c>
      <c r="U213" s="14" t="s">
        <v>780</v>
      </c>
      <c r="V213" s="14"/>
      <c r="W213" s="14"/>
      <c r="X213" s="12"/>
      <c r="Y213" s="12"/>
      <c r="Z213" s="14"/>
      <c r="AA213" s="12"/>
      <c r="AB213" s="15"/>
      <c r="AC213" s="16">
        <v>0</v>
      </c>
      <c r="AD213" s="16">
        <v>0</v>
      </c>
      <c r="AE213" s="16">
        <v>0</v>
      </c>
      <c r="AF213" s="16">
        <v>0</v>
      </c>
      <c r="AG213" s="16">
        <v>1</v>
      </c>
      <c r="AH213" s="14" t="s">
        <v>166</v>
      </c>
      <c r="AI213" s="54">
        <v>0</v>
      </c>
      <c r="AJ213" s="54">
        <v>0</v>
      </c>
      <c r="AK213" s="54">
        <v>0</v>
      </c>
      <c r="AL213" s="54">
        <v>1</v>
      </c>
      <c r="AM213" s="54">
        <v>1</v>
      </c>
      <c r="AN213" s="14" t="s">
        <v>166</v>
      </c>
    </row>
    <row r="214" spans="1:40" ht="47.25" x14ac:dyDescent="0.25">
      <c r="A214" s="12" t="s">
        <v>1422</v>
      </c>
      <c r="B214" s="12" t="s">
        <v>1423</v>
      </c>
      <c r="C214" s="12" t="s">
        <v>1124</v>
      </c>
      <c r="D214" s="13" t="s">
        <v>1083</v>
      </c>
      <c r="E214" s="13" t="s">
        <v>990</v>
      </c>
      <c r="F214" s="13">
        <v>5711</v>
      </c>
      <c r="G214" s="13" t="s">
        <v>40</v>
      </c>
      <c r="H214" s="13" t="s">
        <v>877</v>
      </c>
      <c r="I214" s="12"/>
      <c r="J214" s="13">
        <v>682735057</v>
      </c>
      <c r="K214" s="13"/>
      <c r="L214" s="13" t="s">
        <v>878</v>
      </c>
      <c r="M214" s="14" t="s">
        <v>1073</v>
      </c>
      <c r="N214" s="13" t="s">
        <v>1068</v>
      </c>
      <c r="O214" s="12">
        <v>3</v>
      </c>
      <c r="P214" s="12" t="s">
        <v>174</v>
      </c>
      <c r="Q214" s="12" t="s">
        <v>868</v>
      </c>
      <c r="R214" s="12" t="s">
        <v>174</v>
      </c>
      <c r="S214" s="14" t="s">
        <v>166</v>
      </c>
      <c r="T214" s="12" t="s">
        <v>1110</v>
      </c>
      <c r="U214" s="14" t="s">
        <v>780</v>
      </c>
      <c r="V214" s="14"/>
      <c r="W214" s="14"/>
      <c r="X214" s="12"/>
      <c r="Y214" s="12"/>
      <c r="Z214" s="14"/>
      <c r="AA214" s="12"/>
      <c r="AB214" s="15"/>
      <c r="AC214" s="16">
        <v>0</v>
      </c>
      <c r="AD214" s="16">
        <v>0</v>
      </c>
      <c r="AE214" s="16">
        <v>0</v>
      </c>
      <c r="AF214" s="16">
        <v>0</v>
      </c>
      <c r="AG214" s="16">
        <v>1</v>
      </c>
      <c r="AH214" s="14" t="s">
        <v>166</v>
      </c>
      <c r="AI214" s="54">
        <v>0</v>
      </c>
      <c r="AJ214" s="54">
        <v>0</v>
      </c>
      <c r="AK214" s="54">
        <v>0</v>
      </c>
      <c r="AL214" s="54">
        <v>1</v>
      </c>
      <c r="AM214" s="54">
        <v>1</v>
      </c>
      <c r="AN214" s="14" t="s">
        <v>166</v>
      </c>
    </row>
    <row r="215" spans="1:40" ht="47.25" x14ac:dyDescent="0.25">
      <c r="A215" s="12" t="s">
        <v>1424</v>
      </c>
      <c r="B215" s="12" t="s">
        <v>1425</v>
      </c>
      <c r="C215" s="12" t="s">
        <v>1124</v>
      </c>
      <c r="D215" s="13" t="s">
        <v>1082</v>
      </c>
      <c r="E215" s="13" t="s">
        <v>992</v>
      </c>
      <c r="F215" s="13">
        <v>3272</v>
      </c>
      <c r="G215" s="13" t="s">
        <v>41</v>
      </c>
      <c r="H215" s="13" t="s">
        <v>220</v>
      </c>
      <c r="I215" s="12"/>
      <c r="J215" s="13">
        <v>683475650</v>
      </c>
      <c r="K215" s="13"/>
      <c r="L215" s="13" t="s">
        <v>221</v>
      </c>
      <c r="M215" s="14" t="s">
        <v>1073</v>
      </c>
      <c r="N215" s="13" t="s">
        <v>1068</v>
      </c>
      <c r="O215" s="12">
        <v>3</v>
      </c>
      <c r="P215" s="12" t="s">
        <v>1045</v>
      </c>
      <c r="Q215" s="12" t="s">
        <v>868</v>
      </c>
      <c r="R215" s="12" t="s">
        <v>174</v>
      </c>
      <c r="S215" s="14" t="s">
        <v>166</v>
      </c>
      <c r="T215" s="12" t="s">
        <v>1110</v>
      </c>
      <c r="U215" s="14" t="s">
        <v>780</v>
      </c>
      <c r="V215" s="14"/>
      <c r="W215" s="14"/>
      <c r="X215" s="12"/>
      <c r="Y215" s="12"/>
      <c r="Z215" s="14"/>
      <c r="AA215" s="12"/>
      <c r="AB215" s="15"/>
      <c r="AC215" s="16">
        <v>0</v>
      </c>
      <c r="AD215" s="16">
        <v>0</v>
      </c>
      <c r="AE215" s="16">
        <v>0</v>
      </c>
      <c r="AF215" s="16">
        <v>0</v>
      </c>
      <c r="AG215" s="16">
        <v>1</v>
      </c>
      <c r="AH215" s="14" t="s">
        <v>166</v>
      </c>
      <c r="AI215" s="54">
        <v>0</v>
      </c>
      <c r="AJ215" s="54">
        <v>0</v>
      </c>
      <c r="AK215" s="54">
        <v>0</v>
      </c>
      <c r="AL215" s="54">
        <v>1</v>
      </c>
      <c r="AM215" s="54">
        <v>1</v>
      </c>
      <c r="AN215" s="14" t="s">
        <v>166</v>
      </c>
    </row>
    <row r="216" spans="1:40" ht="47.25" x14ac:dyDescent="0.25">
      <c r="A216" s="12" t="s">
        <v>1424</v>
      </c>
      <c r="B216" s="12" t="s">
        <v>1425</v>
      </c>
      <c r="C216" s="12" t="s">
        <v>1124</v>
      </c>
      <c r="D216" s="13" t="s">
        <v>1082</v>
      </c>
      <c r="E216" s="13" t="s">
        <v>992</v>
      </c>
      <c r="F216" s="13">
        <v>5694</v>
      </c>
      <c r="G216" s="13" t="s">
        <v>41</v>
      </c>
      <c r="H216" s="13" t="s">
        <v>884</v>
      </c>
      <c r="I216" s="12"/>
      <c r="J216" s="13">
        <v>690877976</v>
      </c>
      <c r="K216" s="13"/>
      <c r="L216" s="13" t="s">
        <v>885</v>
      </c>
      <c r="M216" s="14" t="s">
        <v>1073</v>
      </c>
      <c r="N216" s="13" t="s">
        <v>1068</v>
      </c>
      <c r="O216" s="12">
        <v>3</v>
      </c>
      <c r="P216" s="12" t="s">
        <v>174</v>
      </c>
      <c r="Q216" s="12" t="s">
        <v>868</v>
      </c>
      <c r="R216" s="12" t="s">
        <v>174</v>
      </c>
      <c r="S216" s="14" t="s">
        <v>166</v>
      </c>
      <c r="T216" s="12" t="s">
        <v>1110</v>
      </c>
      <c r="U216" s="14" t="s">
        <v>780</v>
      </c>
      <c r="V216" s="14"/>
      <c r="W216" s="14"/>
      <c r="X216" s="12"/>
      <c r="Y216" s="12"/>
      <c r="Z216" s="14"/>
      <c r="AA216" s="12"/>
      <c r="AB216" s="15"/>
      <c r="AC216" s="16">
        <v>0</v>
      </c>
      <c r="AD216" s="16">
        <v>0</v>
      </c>
      <c r="AE216" s="16">
        <v>0</v>
      </c>
      <c r="AF216" s="16">
        <v>0</v>
      </c>
      <c r="AG216" s="16">
        <v>1</v>
      </c>
      <c r="AH216" s="14" t="s">
        <v>166</v>
      </c>
      <c r="AI216" s="54">
        <v>0</v>
      </c>
      <c r="AJ216" s="54">
        <v>0</v>
      </c>
      <c r="AK216" s="54">
        <v>0</v>
      </c>
      <c r="AL216" s="54">
        <v>1</v>
      </c>
      <c r="AM216" s="54">
        <v>1</v>
      </c>
      <c r="AN216" s="14" t="s">
        <v>166</v>
      </c>
    </row>
    <row r="217" spans="1:40" ht="78.75" x14ac:dyDescent="0.25">
      <c r="A217" s="12" t="s">
        <v>1426</v>
      </c>
      <c r="B217" s="12" t="s">
        <v>1427</v>
      </c>
      <c r="C217" s="12" t="s">
        <v>1124</v>
      </c>
      <c r="D217" s="13" t="s">
        <v>1085</v>
      </c>
      <c r="E217" s="13" t="s">
        <v>994</v>
      </c>
      <c r="F217" s="13">
        <v>2391</v>
      </c>
      <c r="G217" s="13" t="s">
        <v>41</v>
      </c>
      <c r="H217" s="13" t="s">
        <v>322</v>
      </c>
      <c r="I217" s="12"/>
      <c r="J217" s="13">
        <v>618622852</v>
      </c>
      <c r="K217" s="13"/>
      <c r="L217" s="13" t="s">
        <v>323</v>
      </c>
      <c r="M217" s="14" t="s">
        <v>157</v>
      </c>
      <c r="N217" s="13" t="s">
        <v>156</v>
      </c>
      <c r="O217" s="12">
        <v>3</v>
      </c>
      <c r="P217" s="12" t="s">
        <v>174</v>
      </c>
      <c r="Q217" s="12" t="s">
        <v>868</v>
      </c>
      <c r="R217" s="12" t="s">
        <v>174</v>
      </c>
      <c r="S217" s="14" t="s">
        <v>166</v>
      </c>
      <c r="T217" s="12" t="s">
        <v>1110</v>
      </c>
      <c r="U217" s="14" t="s">
        <v>1111</v>
      </c>
      <c r="V217" s="14"/>
      <c r="W217" s="14"/>
      <c r="X217" s="12"/>
      <c r="Y217" s="12"/>
      <c r="Z217" s="14"/>
      <c r="AA217" s="12"/>
      <c r="AB217" s="15"/>
      <c r="AC217" s="16">
        <v>0</v>
      </c>
      <c r="AD217" s="16">
        <v>0</v>
      </c>
      <c r="AE217" s="16">
        <v>0</v>
      </c>
      <c r="AF217" s="16">
        <v>0</v>
      </c>
      <c r="AG217" s="16">
        <v>1</v>
      </c>
      <c r="AH217" s="14" t="s">
        <v>166</v>
      </c>
      <c r="AI217" s="54">
        <v>0</v>
      </c>
      <c r="AJ217" s="54">
        <v>0</v>
      </c>
      <c r="AK217" s="54">
        <v>0</v>
      </c>
      <c r="AL217" s="54">
        <v>1</v>
      </c>
      <c r="AM217" s="54">
        <v>1</v>
      </c>
      <c r="AN217" s="14" t="s">
        <v>166</v>
      </c>
    </row>
    <row r="218" spans="1:40" ht="47.25" x14ac:dyDescent="0.25">
      <c r="A218" s="12" t="s">
        <v>1428</v>
      </c>
      <c r="B218" s="12" t="s">
        <v>1429</v>
      </c>
      <c r="C218" s="12" t="s">
        <v>1124</v>
      </c>
      <c r="D218" s="13" t="s">
        <v>1081</v>
      </c>
      <c r="E218" s="13" t="s">
        <v>991</v>
      </c>
      <c r="F218" s="13">
        <v>4738</v>
      </c>
      <c r="G218" s="13" t="s">
        <v>35</v>
      </c>
      <c r="H218" s="13" t="s">
        <v>407</v>
      </c>
      <c r="I218" s="12"/>
      <c r="J218" s="13">
        <v>696763078</v>
      </c>
      <c r="K218" s="13"/>
      <c r="L218" s="13" t="s">
        <v>883</v>
      </c>
      <c r="M218" s="14" t="s">
        <v>1073</v>
      </c>
      <c r="N218" s="13" t="s">
        <v>1068</v>
      </c>
      <c r="O218" s="12">
        <v>3</v>
      </c>
      <c r="P218" s="12" t="s">
        <v>174</v>
      </c>
      <c r="Q218" s="12" t="s">
        <v>868</v>
      </c>
      <c r="R218" s="12" t="s">
        <v>174</v>
      </c>
      <c r="S218" s="14" t="s">
        <v>166</v>
      </c>
      <c r="T218" s="12" t="s">
        <v>1110</v>
      </c>
      <c r="U218" s="14" t="s">
        <v>780</v>
      </c>
      <c r="V218" s="14"/>
      <c r="W218" s="14"/>
      <c r="X218" s="12"/>
      <c r="Y218" s="12"/>
      <c r="Z218" s="14"/>
      <c r="AA218" s="12"/>
      <c r="AB218" s="15"/>
      <c r="AC218" s="16">
        <v>0</v>
      </c>
      <c r="AD218" s="16">
        <v>0</v>
      </c>
      <c r="AE218" s="16">
        <v>0</v>
      </c>
      <c r="AF218" s="16">
        <v>0</v>
      </c>
      <c r="AG218" s="16">
        <v>0</v>
      </c>
      <c r="AH218" s="14" t="s">
        <v>174</v>
      </c>
      <c r="AI218" s="54">
        <v>0</v>
      </c>
      <c r="AJ218" s="54">
        <v>0</v>
      </c>
      <c r="AK218" s="54">
        <v>0</v>
      </c>
      <c r="AL218" s="54">
        <v>1</v>
      </c>
      <c r="AM218" s="54">
        <v>0</v>
      </c>
      <c r="AN218" s="14" t="s">
        <v>166</v>
      </c>
    </row>
    <row r="219" spans="1:40" ht="47.25" x14ac:dyDescent="0.25">
      <c r="A219" s="12" t="s">
        <v>1430</v>
      </c>
      <c r="B219" s="12" t="s">
        <v>1431</v>
      </c>
      <c r="C219" s="12" t="s">
        <v>1124</v>
      </c>
      <c r="D219" s="13" t="s">
        <v>1084</v>
      </c>
      <c r="E219" s="13" t="s">
        <v>993</v>
      </c>
      <c r="F219" s="13">
        <v>6024</v>
      </c>
      <c r="G219" s="13" t="s">
        <v>35</v>
      </c>
      <c r="H219" s="13" t="s">
        <v>888</v>
      </c>
      <c r="I219" s="12"/>
      <c r="J219" s="13">
        <v>682650979</v>
      </c>
      <c r="K219" s="13"/>
      <c r="L219" s="13" t="s">
        <v>889</v>
      </c>
      <c r="M219" s="14" t="s">
        <v>1073</v>
      </c>
      <c r="N219" s="13" t="s">
        <v>1068</v>
      </c>
      <c r="O219" s="12">
        <v>3</v>
      </c>
      <c r="P219" s="12" t="s">
        <v>174</v>
      </c>
      <c r="Q219" s="12" t="s">
        <v>868</v>
      </c>
      <c r="R219" s="12" t="s">
        <v>174</v>
      </c>
      <c r="S219" s="14" t="s">
        <v>166</v>
      </c>
      <c r="T219" s="12" t="s">
        <v>1110</v>
      </c>
      <c r="U219" s="14" t="s">
        <v>780</v>
      </c>
      <c r="V219" s="14"/>
      <c r="W219" s="14"/>
      <c r="X219" s="12"/>
      <c r="Y219" s="12"/>
      <c r="Z219" s="14"/>
      <c r="AA219" s="12"/>
      <c r="AB219" s="15"/>
      <c r="AC219" s="16">
        <v>0</v>
      </c>
      <c r="AD219" s="16">
        <v>0</v>
      </c>
      <c r="AE219" s="16">
        <v>0</v>
      </c>
      <c r="AF219" s="16">
        <v>0</v>
      </c>
      <c r="AG219" s="16">
        <v>1</v>
      </c>
      <c r="AH219" s="14" t="s">
        <v>166</v>
      </c>
      <c r="AI219" s="54">
        <v>0</v>
      </c>
      <c r="AJ219" s="54">
        <v>0</v>
      </c>
      <c r="AK219" s="54">
        <v>0</v>
      </c>
      <c r="AL219" s="54">
        <v>1</v>
      </c>
      <c r="AM219" s="54">
        <v>1</v>
      </c>
      <c r="AN219" s="14" t="s">
        <v>166</v>
      </c>
    </row>
    <row r="220" spans="1:40" ht="78.75" x14ac:dyDescent="0.25">
      <c r="A220" s="12" t="s">
        <v>1432</v>
      </c>
      <c r="B220" s="12" t="s">
        <v>1433</v>
      </c>
      <c r="C220" s="12" t="s">
        <v>1124</v>
      </c>
      <c r="D220" s="13" t="s">
        <v>1085</v>
      </c>
      <c r="E220" s="13" t="s">
        <v>994</v>
      </c>
      <c r="F220" s="13">
        <v>2390</v>
      </c>
      <c r="G220" s="13" t="s">
        <v>35</v>
      </c>
      <c r="H220" s="13" t="s">
        <v>320</v>
      </c>
      <c r="I220" s="12"/>
      <c r="J220" s="13">
        <v>650533065</v>
      </c>
      <c r="K220" s="13"/>
      <c r="L220" s="13" t="s">
        <v>321</v>
      </c>
      <c r="M220" s="14" t="s">
        <v>157</v>
      </c>
      <c r="N220" s="13" t="s">
        <v>156</v>
      </c>
      <c r="O220" s="12">
        <v>3</v>
      </c>
      <c r="P220" s="12" t="s">
        <v>174</v>
      </c>
      <c r="Q220" s="12" t="s">
        <v>868</v>
      </c>
      <c r="R220" s="12" t="s">
        <v>174</v>
      </c>
      <c r="S220" s="14" t="s">
        <v>166</v>
      </c>
      <c r="T220" s="12" t="s">
        <v>1110</v>
      </c>
      <c r="U220" s="14" t="s">
        <v>1111</v>
      </c>
      <c r="V220" s="14"/>
      <c r="W220" s="14"/>
      <c r="X220" s="12"/>
      <c r="Y220" s="12"/>
      <c r="Z220" s="14"/>
      <c r="AA220" s="12"/>
      <c r="AB220" s="15"/>
      <c r="AC220" s="16">
        <v>0</v>
      </c>
      <c r="AD220" s="16">
        <v>0</v>
      </c>
      <c r="AE220" s="16">
        <v>0</v>
      </c>
      <c r="AF220" s="16">
        <v>0</v>
      </c>
      <c r="AG220" s="16">
        <v>1</v>
      </c>
      <c r="AH220" s="14" t="s">
        <v>166</v>
      </c>
      <c r="AI220" s="54">
        <v>0</v>
      </c>
      <c r="AJ220" s="54">
        <v>0</v>
      </c>
      <c r="AK220" s="54">
        <v>0</v>
      </c>
      <c r="AL220" s="54">
        <v>1</v>
      </c>
      <c r="AM220" s="54">
        <v>1</v>
      </c>
      <c r="AN220" s="14" t="s">
        <v>166</v>
      </c>
    </row>
    <row r="221" spans="1:40" ht="47.25" x14ac:dyDescent="0.25">
      <c r="A221" s="12" t="s">
        <v>1434</v>
      </c>
      <c r="B221" s="12" t="s">
        <v>1435</v>
      </c>
      <c r="C221" s="12" t="s">
        <v>1135</v>
      </c>
      <c r="D221" s="13" t="s">
        <v>26</v>
      </c>
      <c r="E221" s="13" t="s">
        <v>26</v>
      </c>
      <c r="F221" s="13">
        <v>6682</v>
      </c>
      <c r="G221" s="13" t="s">
        <v>27</v>
      </c>
      <c r="H221" s="13" t="s">
        <v>1030</v>
      </c>
      <c r="I221" s="12"/>
      <c r="J221" s="13">
        <v>625091222</v>
      </c>
      <c r="K221" s="13"/>
      <c r="L221" s="13" t="s">
        <v>1052</v>
      </c>
      <c r="M221" s="14" t="s">
        <v>1073</v>
      </c>
      <c r="N221" s="13" t="s">
        <v>1068</v>
      </c>
      <c r="O221" s="12">
        <v>6</v>
      </c>
      <c r="P221" s="12" t="s">
        <v>174</v>
      </c>
      <c r="Q221" s="12" t="s">
        <v>174</v>
      </c>
      <c r="R221" s="12" t="s">
        <v>867</v>
      </c>
      <c r="S221" s="14" t="s">
        <v>166</v>
      </c>
      <c r="T221" s="12" t="s">
        <v>1199</v>
      </c>
      <c r="U221" s="14" t="s">
        <v>780</v>
      </c>
      <c r="V221" s="14"/>
      <c r="W221" s="14"/>
      <c r="X221" s="12"/>
      <c r="Y221" s="12"/>
      <c r="Z221" s="14"/>
      <c r="AA221" s="12"/>
      <c r="AB221" s="15"/>
      <c r="AC221" s="16" t="s">
        <v>111</v>
      </c>
      <c r="AD221" s="16" t="s">
        <v>111</v>
      </c>
      <c r="AE221" s="16" t="s">
        <v>111</v>
      </c>
      <c r="AF221" s="16" t="s">
        <v>111</v>
      </c>
      <c r="AG221" s="16" t="s">
        <v>111</v>
      </c>
      <c r="AH221" s="14" t="s">
        <v>1149</v>
      </c>
      <c r="AI221" s="54">
        <v>0</v>
      </c>
      <c r="AJ221" s="54">
        <v>0</v>
      </c>
      <c r="AK221" s="54">
        <v>0</v>
      </c>
      <c r="AL221" s="54">
        <v>0</v>
      </c>
      <c r="AM221" s="54">
        <v>0</v>
      </c>
      <c r="AN221" s="14" t="s">
        <v>174</v>
      </c>
    </row>
    <row r="222" spans="1:40" ht="47.25" x14ac:dyDescent="0.25">
      <c r="A222" s="12" t="s">
        <v>1436</v>
      </c>
      <c r="B222" s="12" t="s">
        <v>1437</v>
      </c>
      <c r="C222" s="12" t="s">
        <v>1135</v>
      </c>
      <c r="D222" s="13" t="s">
        <v>28</v>
      </c>
      <c r="E222" s="13" t="s">
        <v>28</v>
      </c>
      <c r="F222" s="13">
        <v>6615</v>
      </c>
      <c r="G222" s="13" t="s">
        <v>29</v>
      </c>
      <c r="H222" s="13" t="s">
        <v>1034</v>
      </c>
      <c r="I222" s="12"/>
      <c r="J222" s="13">
        <v>657549425</v>
      </c>
      <c r="K222" s="13"/>
      <c r="L222" s="13" t="s">
        <v>1056</v>
      </c>
      <c r="M222" s="14" t="s">
        <v>1073</v>
      </c>
      <c r="N222" s="13" t="s">
        <v>1068</v>
      </c>
      <c r="O222" s="12">
        <v>6</v>
      </c>
      <c r="P222" s="12" t="s">
        <v>174</v>
      </c>
      <c r="Q222" s="12" t="s">
        <v>868</v>
      </c>
      <c r="R222" s="12" t="s">
        <v>174</v>
      </c>
      <c r="S222" s="14" t="s">
        <v>166</v>
      </c>
      <c r="T222" s="12" t="s">
        <v>1199</v>
      </c>
      <c r="U222" s="14" t="s">
        <v>780</v>
      </c>
      <c r="V222" s="14"/>
      <c r="W222" s="14"/>
      <c r="X222" s="12"/>
      <c r="Y222" s="12"/>
      <c r="Z222" s="14"/>
      <c r="AA222" s="12"/>
      <c r="AB222" s="15"/>
      <c r="AC222" s="16" t="s">
        <v>111</v>
      </c>
      <c r="AD222" s="16">
        <v>0</v>
      </c>
      <c r="AE222" s="16">
        <v>0</v>
      </c>
      <c r="AF222" s="16">
        <v>0</v>
      </c>
      <c r="AG222" s="16">
        <v>0</v>
      </c>
      <c r="AH222" s="14" t="s">
        <v>1149</v>
      </c>
      <c r="AI222" s="54">
        <v>0</v>
      </c>
      <c r="AJ222" s="54">
        <v>1</v>
      </c>
      <c r="AK222" s="54">
        <v>1</v>
      </c>
      <c r="AL222" s="54">
        <v>1</v>
      </c>
      <c r="AM222" s="54">
        <v>0</v>
      </c>
      <c r="AN222" s="14" t="s">
        <v>166</v>
      </c>
    </row>
    <row r="223" spans="1:40" ht="47.25" x14ac:dyDescent="0.25">
      <c r="A223" s="12" t="s">
        <v>1438</v>
      </c>
      <c r="B223" s="12" t="s">
        <v>1439</v>
      </c>
      <c r="C223" s="12" t="s">
        <v>1135</v>
      </c>
      <c r="D223" s="13" t="s">
        <v>30</v>
      </c>
      <c r="E223" s="13" t="s">
        <v>30</v>
      </c>
      <c r="F223" s="13">
        <v>6869</v>
      </c>
      <c r="G223" s="13" t="s">
        <v>31</v>
      </c>
      <c r="H223" s="13" t="s">
        <v>1035</v>
      </c>
      <c r="I223" s="12"/>
      <c r="J223" s="13">
        <v>627612323</v>
      </c>
      <c r="K223" s="13"/>
      <c r="L223" s="13" t="s">
        <v>1057</v>
      </c>
      <c r="M223" s="14" t="s">
        <v>1073</v>
      </c>
      <c r="N223" s="13" t="s">
        <v>1068</v>
      </c>
      <c r="O223" s="12">
        <v>6</v>
      </c>
      <c r="P223" s="12" t="s">
        <v>174</v>
      </c>
      <c r="Q223" s="12" t="s">
        <v>868</v>
      </c>
      <c r="R223" s="12" t="s">
        <v>174</v>
      </c>
      <c r="S223" s="14" t="s">
        <v>166</v>
      </c>
      <c r="T223" s="12" t="s">
        <v>1199</v>
      </c>
      <c r="U223" s="14" t="s">
        <v>780</v>
      </c>
      <c r="V223" s="14"/>
      <c r="W223" s="14"/>
      <c r="X223" s="12"/>
      <c r="Y223" s="12"/>
      <c r="Z223" s="14"/>
      <c r="AA223" s="12"/>
      <c r="AB223" s="15"/>
      <c r="AC223" s="16" t="s">
        <v>111</v>
      </c>
      <c r="AD223" s="16">
        <v>0</v>
      </c>
      <c r="AE223" s="16">
        <v>0</v>
      </c>
      <c r="AF223" s="16">
        <v>0</v>
      </c>
      <c r="AG223" s="16">
        <v>0</v>
      </c>
      <c r="AH223" s="14" t="s">
        <v>1149</v>
      </c>
      <c r="AI223" s="54">
        <v>1</v>
      </c>
      <c r="AJ223" s="54">
        <v>1</v>
      </c>
      <c r="AK223" s="54">
        <v>1</v>
      </c>
      <c r="AL223" s="54">
        <v>1</v>
      </c>
      <c r="AM223" s="54">
        <v>0</v>
      </c>
      <c r="AN223" s="14" t="s">
        <v>166</v>
      </c>
    </row>
    <row r="224" spans="1:40" ht="47.25" x14ac:dyDescent="0.25">
      <c r="A224" s="12" t="s">
        <v>1438</v>
      </c>
      <c r="B224" s="12" t="s">
        <v>1439</v>
      </c>
      <c r="C224" s="12" t="s">
        <v>1135</v>
      </c>
      <c r="D224" s="13" t="s">
        <v>30</v>
      </c>
      <c r="E224" s="13" t="s">
        <v>30</v>
      </c>
      <c r="F224" s="13">
        <v>6800</v>
      </c>
      <c r="G224" s="13" t="s">
        <v>31</v>
      </c>
      <c r="H224" s="13" t="s">
        <v>1032</v>
      </c>
      <c r="I224" s="12"/>
      <c r="J224" s="13">
        <v>627611466</v>
      </c>
      <c r="K224" s="13"/>
      <c r="L224" s="13" t="s">
        <v>1054</v>
      </c>
      <c r="M224" s="14" t="s">
        <v>1073</v>
      </c>
      <c r="N224" s="13" t="s">
        <v>1068</v>
      </c>
      <c r="O224" s="12">
        <v>6</v>
      </c>
      <c r="P224" s="12" t="s">
        <v>174</v>
      </c>
      <c r="Q224" s="12" t="s">
        <v>868</v>
      </c>
      <c r="R224" s="12" t="s">
        <v>174</v>
      </c>
      <c r="S224" s="14" t="s">
        <v>166</v>
      </c>
      <c r="T224" s="12" t="s">
        <v>1199</v>
      </c>
      <c r="U224" s="14" t="s">
        <v>780</v>
      </c>
      <c r="V224" s="14"/>
      <c r="W224" s="14"/>
      <c r="X224" s="12"/>
      <c r="Y224" s="12"/>
      <c r="Z224" s="14"/>
      <c r="AA224" s="12"/>
      <c r="AB224" s="15"/>
      <c r="AC224" s="16" t="s">
        <v>111</v>
      </c>
      <c r="AD224" s="16">
        <v>0</v>
      </c>
      <c r="AE224" s="16">
        <v>0</v>
      </c>
      <c r="AF224" s="16">
        <v>0</v>
      </c>
      <c r="AG224" s="16">
        <v>0</v>
      </c>
      <c r="AH224" s="14" t="s">
        <v>1149</v>
      </c>
      <c r="AI224" s="54">
        <v>1</v>
      </c>
      <c r="AJ224" s="54">
        <v>1</v>
      </c>
      <c r="AK224" s="54">
        <v>1</v>
      </c>
      <c r="AL224" s="54">
        <v>1</v>
      </c>
      <c r="AM224" s="54">
        <v>0</v>
      </c>
      <c r="AN224" s="14" t="s">
        <v>166</v>
      </c>
    </row>
    <row r="225" spans="1:40" ht="47.25" x14ac:dyDescent="0.25">
      <c r="A225" s="12" t="s">
        <v>1438</v>
      </c>
      <c r="B225" s="12" t="s">
        <v>1439</v>
      </c>
      <c r="C225" s="12" t="s">
        <v>1135</v>
      </c>
      <c r="D225" s="13" t="s">
        <v>30</v>
      </c>
      <c r="E225" s="13" t="s">
        <v>30</v>
      </c>
      <c r="F225" s="13">
        <v>6856</v>
      </c>
      <c r="G225" s="13" t="s">
        <v>31</v>
      </c>
      <c r="H225" s="13" t="s">
        <v>1031</v>
      </c>
      <c r="I225" s="12"/>
      <c r="J225" s="13">
        <v>680383546</v>
      </c>
      <c r="K225" s="13"/>
      <c r="L225" s="13" t="s">
        <v>1053</v>
      </c>
      <c r="M225" s="14" t="s">
        <v>1073</v>
      </c>
      <c r="N225" s="13" t="s">
        <v>1068</v>
      </c>
      <c r="O225" s="12">
        <v>6</v>
      </c>
      <c r="P225" s="12" t="s">
        <v>174</v>
      </c>
      <c r="Q225" s="12" t="s">
        <v>868</v>
      </c>
      <c r="R225" s="12" t="s">
        <v>174</v>
      </c>
      <c r="S225" s="14" t="s">
        <v>166</v>
      </c>
      <c r="T225" s="12" t="s">
        <v>1199</v>
      </c>
      <c r="U225" s="14" t="s">
        <v>780</v>
      </c>
      <c r="V225" s="14"/>
      <c r="W225" s="14"/>
      <c r="X225" s="12"/>
      <c r="Y225" s="12"/>
      <c r="Z225" s="14"/>
      <c r="AA225" s="12"/>
      <c r="AB225" s="15"/>
      <c r="AC225" s="16" t="s">
        <v>111</v>
      </c>
      <c r="AD225" s="16">
        <v>0</v>
      </c>
      <c r="AE225" s="16">
        <v>0</v>
      </c>
      <c r="AF225" s="16">
        <v>0</v>
      </c>
      <c r="AG225" s="16">
        <v>0</v>
      </c>
      <c r="AH225" s="14" t="s">
        <v>1149</v>
      </c>
      <c r="AI225" s="54">
        <v>1</v>
      </c>
      <c r="AJ225" s="54">
        <v>1</v>
      </c>
      <c r="AK225" s="54">
        <v>1</v>
      </c>
      <c r="AL225" s="54">
        <v>1</v>
      </c>
      <c r="AM225" s="54">
        <v>0</v>
      </c>
      <c r="AN225" s="14" t="s">
        <v>166</v>
      </c>
    </row>
    <row r="226" spans="1:40" ht="47.25" x14ac:dyDescent="0.25">
      <c r="A226" s="12" t="s">
        <v>1440</v>
      </c>
      <c r="B226" s="12" t="s">
        <v>1441</v>
      </c>
      <c r="C226" s="12" t="s">
        <v>1135</v>
      </c>
      <c r="D226" s="13" t="s">
        <v>848</v>
      </c>
      <c r="E226" s="13" t="s">
        <v>109</v>
      </c>
      <c r="F226" s="13">
        <v>590</v>
      </c>
      <c r="G226" s="13" t="s">
        <v>34</v>
      </c>
      <c r="H226" s="13" t="s">
        <v>554</v>
      </c>
      <c r="I226" s="12"/>
      <c r="J226" s="13">
        <v>606875262</v>
      </c>
      <c r="K226" s="13"/>
      <c r="L226" s="13" t="s">
        <v>555</v>
      </c>
      <c r="M226" s="14" t="s">
        <v>1074</v>
      </c>
      <c r="N226" s="13" t="s">
        <v>1069</v>
      </c>
      <c r="O226" s="12" t="s">
        <v>53</v>
      </c>
      <c r="P226" s="12" t="s">
        <v>174</v>
      </c>
      <c r="Q226" s="12" t="s">
        <v>868</v>
      </c>
      <c r="R226" s="12" t="s">
        <v>174</v>
      </c>
      <c r="S226" s="14" t="s">
        <v>166</v>
      </c>
      <c r="T226" s="12" t="s">
        <v>1110</v>
      </c>
      <c r="U226" s="14" t="s">
        <v>781</v>
      </c>
      <c r="V226" s="14"/>
      <c r="W226" s="14"/>
      <c r="X226" s="12"/>
      <c r="Y226" s="12"/>
      <c r="Z226" s="14"/>
      <c r="AA226" s="12"/>
      <c r="AB226" s="15"/>
      <c r="AC226" s="16">
        <v>0</v>
      </c>
      <c r="AD226" s="16">
        <v>1</v>
      </c>
      <c r="AE226" s="16">
        <v>0</v>
      </c>
      <c r="AF226" s="16">
        <v>0</v>
      </c>
      <c r="AG226" s="16">
        <v>0</v>
      </c>
      <c r="AH226" s="14" t="s">
        <v>166</v>
      </c>
      <c r="AI226" s="54">
        <v>0</v>
      </c>
      <c r="AJ226" s="54">
        <v>1</v>
      </c>
      <c r="AK226" s="54">
        <v>0</v>
      </c>
      <c r="AL226" s="54">
        <v>0</v>
      </c>
      <c r="AM226" s="54">
        <v>0</v>
      </c>
      <c r="AN226" s="14" t="s">
        <v>166</v>
      </c>
    </row>
    <row r="227" spans="1:40" ht="47.25" x14ac:dyDescent="0.25">
      <c r="A227" s="12" t="s">
        <v>1440</v>
      </c>
      <c r="B227" s="12" t="s">
        <v>1441</v>
      </c>
      <c r="C227" s="12" t="s">
        <v>1135</v>
      </c>
      <c r="D227" s="13" t="s">
        <v>848</v>
      </c>
      <c r="E227" s="13" t="s">
        <v>109</v>
      </c>
      <c r="F227" s="13">
        <v>1084</v>
      </c>
      <c r="G227" s="13" t="s">
        <v>34</v>
      </c>
      <c r="H227" s="13" t="s">
        <v>564</v>
      </c>
      <c r="I227" s="12"/>
      <c r="J227" s="13">
        <v>630205704</v>
      </c>
      <c r="K227" s="13"/>
      <c r="L227" s="13" t="s">
        <v>565</v>
      </c>
      <c r="M227" s="14" t="s">
        <v>1073</v>
      </c>
      <c r="N227" s="13" t="s">
        <v>1068</v>
      </c>
      <c r="O227" s="12">
        <v>2</v>
      </c>
      <c r="P227" s="12" t="s">
        <v>174</v>
      </c>
      <c r="Q227" s="12" t="s">
        <v>868</v>
      </c>
      <c r="R227" s="12" t="s">
        <v>174</v>
      </c>
      <c r="S227" s="14" t="s">
        <v>166</v>
      </c>
      <c r="T227" s="12" t="s">
        <v>1110</v>
      </c>
      <c r="U227" s="14" t="s">
        <v>780</v>
      </c>
      <c r="V227" s="14"/>
      <c r="W227" s="14"/>
      <c r="X227" s="12"/>
      <c r="Y227" s="12"/>
      <c r="Z227" s="14"/>
      <c r="AA227" s="12"/>
      <c r="AB227" s="15"/>
      <c r="AC227" s="16">
        <v>1</v>
      </c>
      <c r="AD227" s="16">
        <v>1</v>
      </c>
      <c r="AE227" s="16">
        <v>0</v>
      </c>
      <c r="AF227" s="16">
        <v>0</v>
      </c>
      <c r="AG227" s="16">
        <v>0</v>
      </c>
      <c r="AH227" s="14" t="s">
        <v>166</v>
      </c>
      <c r="AI227" s="54">
        <v>1</v>
      </c>
      <c r="AJ227" s="54">
        <v>1</v>
      </c>
      <c r="AK227" s="54">
        <v>1</v>
      </c>
      <c r="AL227" s="54">
        <v>1</v>
      </c>
      <c r="AM227" s="54">
        <v>0</v>
      </c>
      <c r="AN227" s="14" t="s">
        <v>166</v>
      </c>
    </row>
    <row r="228" spans="1:40" ht="31.5" x14ac:dyDescent="0.25">
      <c r="A228" s="12" t="s">
        <v>1440</v>
      </c>
      <c r="B228" s="12" t="s">
        <v>1441</v>
      </c>
      <c r="C228" s="12" t="s">
        <v>1135</v>
      </c>
      <c r="D228" s="13" t="s">
        <v>848</v>
      </c>
      <c r="E228" s="13" t="s">
        <v>109</v>
      </c>
      <c r="F228" s="13">
        <v>1807</v>
      </c>
      <c r="G228" s="13" t="s">
        <v>34</v>
      </c>
      <c r="H228" s="13" t="s">
        <v>560</v>
      </c>
      <c r="I228" s="12"/>
      <c r="J228" s="13">
        <v>690932031</v>
      </c>
      <c r="K228" s="13"/>
      <c r="L228" s="13" t="s">
        <v>561</v>
      </c>
      <c r="M228" s="14" t="s">
        <v>1118</v>
      </c>
      <c r="N228" s="13" t="s">
        <v>1109</v>
      </c>
      <c r="O228" s="12">
        <v>2</v>
      </c>
      <c r="P228" s="12" t="s">
        <v>174</v>
      </c>
      <c r="Q228" s="12" t="s">
        <v>868</v>
      </c>
      <c r="R228" s="12" t="s">
        <v>174</v>
      </c>
      <c r="S228" s="14" t="s">
        <v>166</v>
      </c>
      <c r="T228" s="12" t="s">
        <v>1110</v>
      </c>
      <c r="U228" s="14" t="s">
        <v>1323</v>
      </c>
      <c r="V228" s="14"/>
      <c r="W228" s="14"/>
      <c r="X228" s="12"/>
      <c r="Y228" s="12"/>
      <c r="Z228" s="14"/>
      <c r="AA228" s="12"/>
      <c r="AB228" s="15"/>
      <c r="AC228" s="16">
        <v>0</v>
      </c>
      <c r="AD228" s="16">
        <v>0</v>
      </c>
      <c r="AE228" s="16">
        <v>0</v>
      </c>
      <c r="AF228" s="16">
        <v>0</v>
      </c>
      <c r="AG228" s="16">
        <v>1</v>
      </c>
      <c r="AH228" s="14" t="s">
        <v>166</v>
      </c>
      <c r="AI228" s="54"/>
      <c r="AJ228" s="54"/>
      <c r="AK228" s="54"/>
      <c r="AL228" s="54"/>
      <c r="AM228" s="54">
        <v>1</v>
      </c>
      <c r="AN228" s="14" t="s">
        <v>166</v>
      </c>
    </row>
    <row r="229" spans="1:40" ht="47.25" x14ac:dyDescent="0.25">
      <c r="A229" s="12" t="s">
        <v>1440</v>
      </c>
      <c r="B229" s="12" t="s">
        <v>1441</v>
      </c>
      <c r="C229" s="12" t="s">
        <v>1135</v>
      </c>
      <c r="D229" s="13" t="s">
        <v>848</v>
      </c>
      <c r="E229" s="13" t="s">
        <v>109</v>
      </c>
      <c r="F229" s="13">
        <v>4830</v>
      </c>
      <c r="G229" s="13" t="s">
        <v>34</v>
      </c>
      <c r="H229" s="13" t="s">
        <v>933</v>
      </c>
      <c r="I229" s="12"/>
      <c r="J229" s="13">
        <v>682074447</v>
      </c>
      <c r="K229" s="13"/>
      <c r="L229" s="13" t="s">
        <v>934</v>
      </c>
      <c r="M229" s="14" t="s">
        <v>1116</v>
      </c>
      <c r="N229" s="13" t="s">
        <v>1107</v>
      </c>
      <c r="O229" s="12">
        <v>2</v>
      </c>
      <c r="P229" s="12" t="s">
        <v>174</v>
      </c>
      <c r="Q229" s="12" t="s">
        <v>868</v>
      </c>
      <c r="R229" s="12" t="s">
        <v>174</v>
      </c>
      <c r="S229" s="14" t="s">
        <v>166</v>
      </c>
      <c r="T229" s="12" t="s">
        <v>1110</v>
      </c>
      <c r="U229" s="14" t="s">
        <v>1078</v>
      </c>
      <c r="V229" s="14"/>
      <c r="W229" s="14"/>
      <c r="X229" s="12"/>
      <c r="Y229" s="12"/>
      <c r="Z229" s="14"/>
      <c r="AA229" s="12"/>
      <c r="AB229" s="15"/>
      <c r="AC229" s="16">
        <v>0</v>
      </c>
      <c r="AD229" s="16">
        <v>0</v>
      </c>
      <c r="AE229" s="16">
        <v>0</v>
      </c>
      <c r="AF229" s="16">
        <v>0</v>
      </c>
      <c r="AG229" s="16">
        <v>1</v>
      </c>
      <c r="AH229" s="14" t="s">
        <v>166</v>
      </c>
      <c r="AI229" s="54"/>
      <c r="AJ229" s="54"/>
      <c r="AK229" s="54"/>
      <c r="AL229" s="54"/>
      <c r="AM229" s="54">
        <v>1</v>
      </c>
      <c r="AN229" s="14" t="s">
        <v>166</v>
      </c>
    </row>
    <row r="230" spans="1:40" ht="94.5" x14ac:dyDescent="0.25">
      <c r="A230" s="12" t="s">
        <v>1442</v>
      </c>
      <c r="B230" s="12" t="s">
        <v>1443</v>
      </c>
      <c r="C230" s="12" t="s">
        <v>1135</v>
      </c>
      <c r="D230" s="13" t="s">
        <v>962</v>
      </c>
      <c r="E230" s="13" t="s">
        <v>102</v>
      </c>
      <c r="F230" s="13">
        <v>237</v>
      </c>
      <c r="G230" s="13" t="s">
        <v>34</v>
      </c>
      <c r="H230" s="13" t="s">
        <v>466</v>
      </c>
      <c r="I230" s="12"/>
      <c r="J230" s="13">
        <v>689735961</v>
      </c>
      <c r="K230" s="13"/>
      <c r="L230" s="13" t="s">
        <v>467</v>
      </c>
      <c r="M230" s="14" t="s">
        <v>1074</v>
      </c>
      <c r="N230" s="13" t="s">
        <v>1069</v>
      </c>
      <c r="O230" s="12">
        <v>6</v>
      </c>
      <c r="P230" s="12" t="s">
        <v>1045</v>
      </c>
      <c r="Q230" s="12" t="s">
        <v>174</v>
      </c>
      <c r="R230" s="12" t="s">
        <v>174</v>
      </c>
      <c r="S230" s="14" t="s">
        <v>166</v>
      </c>
      <c r="T230" s="12" t="s">
        <v>174</v>
      </c>
      <c r="U230" s="14" t="s">
        <v>781</v>
      </c>
      <c r="V230" s="14"/>
      <c r="W230" s="14"/>
      <c r="X230" s="12"/>
      <c r="Y230" s="12"/>
      <c r="Z230" s="14"/>
      <c r="AA230" s="12"/>
      <c r="AB230" s="15"/>
      <c r="AC230" s="16">
        <v>0</v>
      </c>
      <c r="AD230" s="16">
        <v>0</v>
      </c>
      <c r="AE230" s="16">
        <v>1</v>
      </c>
      <c r="AF230" s="16">
        <v>0</v>
      </c>
      <c r="AG230" s="16">
        <v>0</v>
      </c>
      <c r="AH230" s="14" t="s">
        <v>166</v>
      </c>
      <c r="AI230" s="54">
        <v>0</v>
      </c>
      <c r="AJ230" s="54">
        <v>0</v>
      </c>
      <c r="AK230" s="54">
        <v>1</v>
      </c>
      <c r="AL230" s="54">
        <v>0</v>
      </c>
      <c r="AM230" s="54">
        <v>0</v>
      </c>
      <c r="AN230" s="14" t="s">
        <v>166</v>
      </c>
    </row>
    <row r="231" spans="1:40" ht="47.25" x14ac:dyDescent="0.25">
      <c r="A231" s="12" t="s">
        <v>1444</v>
      </c>
      <c r="B231" s="12" t="s">
        <v>1445</v>
      </c>
      <c r="C231" s="12" t="s">
        <v>1135</v>
      </c>
      <c r="D231" s="13" t="s">
        <v>847</v>
      </c>
      <c r="E231" s="13" t="s">
        <v>109</v>
      </c>
      <c r="F231" s="13">
        <v>1180</v>
      </c>
      <c r="G231" s="13" t="s">
        <v>55</v>
      </c>
      <c r="H231" s="13" t="s">
        <v>562</v>
      </c>
      <c r="I231" s="12"/>
      <c r="J231" s="13">
        <v>690155548</v>
      </c>
      <c r="K231" s="13"/>
      <c r="L231" s="13" t="s">
        <v>563</v>
      </c>
      <c r="M231" s="14" t="s">
        <v>1073</v>
      </c>
      <c r="N231" s="13" t="s">
        <v>1068</v>
      </c>
      <c r="O231" s="12">
        <v>2</v>
      </c>
      <c r="P231" s="12" t="s">
        <v>174</v>
      </c>
      <c r="Q231" s="12" t="s">
        <v>868</v>
      </c>
      <c r="R231" s="12" t="s">
        <v>174</v>
      </c>
      <c r="S231" s="14" t="s">
        <v>166</v>
      </c>
      <c r="T231" s="12" t="s">
        <v>1110</v>
      </c>
      <c r="U231" s="14" t="s">
        <v>780</v>
      </c>
      <c r="V231" s="14"/>
      <c r="W231" s="14"/>
      <c r="X231" s="12"/>
      <c r="Y231" s="12"/>
      <c r="Z231" s="14"/>
      <c r="AA231" s="12"/>
      <c r="AB231" s="15"/>
      <c r="AC231" s="16">
        <v>0</v>
      </c>
      <c r="AD231" s="16">
        <v>0</v>
      </c>
      <c r="AE231" s="16">
        <v>1</v>
      </c>
      <c r="AF231" s="16">
        <v>0</v>
      </c>
      <c r="AG231" s="16">
        <v>0</v>
      </c>
      <c r="AH231" s="14" t="s">
        <v>166</v>
      </c>
      <c r="AI231" s="54">
        <v>0</v>
      </c>
      <c r="AJ231" s="54">
        <v>0</v>
      </c>
      <c r="AK231" s="54">
        <v>1</v>
      </c>
      <c r="AL231" s="54">
        <v>0</v>
      </c>
      <c r="AM231" s="54">
        <v>0</v>
      </c>
      <c r="AN231" s="14" t="s">
        <v>166</v>
      </c>
    </row>
    <row r="232" spans="1:40" ht="47.25" x14ac:dyDescent="0.25">
      <c r="A232" s="12" t="s">
        <v>1446</v>
      </c>
      <c r="B232" s="12" t="s">
        <v>1447</v>
      </c>
      <c r="C232" s="12" t="s">
        <v>1135</v>
      </c>
      <c r="D232" s="13" t="s">
        <v>848</v>
      </c>
      <c r="E232" s="13" t="s">
        <v>109</v>
      </c>
      <c r="F232" s="13">
        <v>209</v>
      </c>
      <c r="G232" s="13" t="s">
        <v>55</v>
      </c>
      <c r="H232" s="13" t="s">
        <v>276</v>
      </c>
      <c r="I232" s="12"/>
      <c r="J232" s="13">
        <v>679519327</v>
      </c>
      <c r="K232" s="13"/>
      <c r="L232" s="13" t="s">
        <v>277</v>
      </c>
      <c r="M232" s="14" t="s">
        <v>1074</v>
      </c>
      <c r="N232" s="13" t="s">
        <v>1069</v>
      </c>
      <c r="O232" s="12">
        <v>2</v>
      </c>
      <c r="P232" s="12" t="s">
        <v>174</v>
      </c>
      <c r="Q232" s="12" t="s">
        <v>868</v>
      </c>
      <c r="R232" s="12" t="s">
        <v>174</v>
      </c>
      <c r="S232" s="14" t="s">
        <v>166</v>
      </c>
      <c r="T232" s="12" t="s">
        <v>1110</v>
      </c>
      <c r="U232" s="14" t="s">
        <v>781</v>
      </c>
      <c r="V232" s="14"/>
      <c r="W232" s="14"/>
      <c r="X232" s="12"/>
      <c r="Y232" s="12"/>
      <c r="Z232" s="14"/>
      <c r="AA232" s="12"/>
      <c r="AB232" s="15"/>
      <c r="AC232" s="16">
        <v>0</v>
      </c>
      <c r="AD232" s="16">
        <v>0</v>
      </c>
      <c r="AE232" s="16">
        <v>1</v>
      </c>
      <c r="AF232" s="16">
        <v>0</v>
      </c>
      <c r="AG232" s="16">
        <v>0</v>
      </c>
      <c r="AH232" s="14" t="s">
        <v>166</v>
      </c>
      <c r="AI232" s="54">
        <v>0</v>
      </c>
      <c r="AJ232" s="54">
        <v>0</v>
      </c>
      <c r="AK232" s="54">
        <v>0</v>
      </c>
      <c r="AL232" s="54">
        <v>0</v>
      </c>
      <c r="AM232" s="54">
        <v>0</v>
      </c>
      <c r="AN232" s="14" t="s">
        <v>174</v>
      </c>
    </row>
    <row r="233" spans="1:40" ht="47.25" x14ac:dyDescent="0.25">
      <c r="A233" s="12" t="s">
        <v>1446</v>
      </c>
      <c r="B233" s="12" t="s">
        <v>1447</v>
      </c>
      <c r="C233" s="12" t="s">
        <v>1135</v>
      </c>
      <c r="D233" s="13" t="s">
        <v>848</v>
      </c>
      <c r="E233" s="13" t="s">
        <v>109</v>
      </c>
      <c r="F233" s="13">
        <v>3769</v>
      </c>
      <c r="G233" s="13" t="s">
        <v>55</v>
      </c>
      <c r="H233" s="13" t="s">
        <v>402</v>
      </c>
      <c r="I233" s="12"/>
      <c r="J233" s="13">
        <v>676185295</v>
      </c>
      <c r="K233" s="13"/>
      <c r="L233" s="13" t="s">
        <v>931</v>
      </c>
      <c r="M233" s="14" t="s">
        <v>1073</v>
      </c>
      <c r="N233" s="13" t="s">
        <v>1068</v>
      </c>
      <c r="O233" s="12">
        <v>2</v>
      </c>
      <c r="P233" s="12" t="s">
        <v>174</v>
      </c>
      <c r="Q233" s="12" t="s">
        <v>868</v>
      </c>
      <c r="R233" s="12" t="s">
        <v>174</v>
      </c>
      <c r="S233" s="14" t="s">
        <v>166</v>
      </c>
      <c r="T233" s="12" t="s">
        <v>1110</v>
      </c>
      <c r="U233" s="14" t="s">
        <v>780</v>
      </c>
      <c r="V233" s="14"/>
      <c r="W233" s="14"/>
      <c r="X233" s="12"/>
      <c r="Y233" s="12"/>
      <c r="Z233" s="14"/>
      <c r="AA233" s="12"/>
      <c r="AB233" s="15"/>
      <c r="AC233" s="16">
        <v>0</v>
      </c>
      <c r="AD233" s="16">
        <v>0</v>
      </c>
      <c r="AE233" s="16">
        <v>0</v>
      </c>
      <c r="AF233" s="16">
        <v>0</v>
      </c>
      <c r="AG233" s="16">
        <v>1</v>
      </c>
      <c r="AH233" s="14" t="s">
        <v>166</v>
      </c>
      <c r="AI233" s="54"/>
      <c r="AJ233" s="54"/>
      <c r="AK233" s="54"/>
      <c r="AL233" s="54"/>
      <c r="AM233" s="54">
        <v>1</v>
      </c>
      <c r="AN233" s="14" t="s">
        <v>166</v>
      </c>
    </row>
    <row r="234" spans="1:40" ht="47.25" x14ac:dyDescent="0.25">
      <c r="A234" s="12" t="s">
        <v>1446</v>
      </c>
      <c r="B234" s="12" t="s">
        <v>1447</v>
      </c>
      <c r="C234" s="12" t="s">
        <v>1135</v>
      </c>
      <c r="D234" s="13" t="s">
        <v>848</v>
      </c>
      <c r="E234" s="13" t="s">
        <v>109</v>
      </c>
      <c r="F234" s="13">
        <v>2392</v>
      </c>
      <c r="G234" s="13" t="s">
        <v>55</v>
      </c>
      <c r="H234" s="13" t="s">
        <v>548</v>
      </c>
      <c r="I234" s="12"/>
      <c r="J234" s="13">
        <v>680743119</v>
      </c>
      <c r="K234" s="13"/>
      <c r="L234" s="13" t="s">
        <v>549</v>
      </c>
      <c r="M234" s="14" t="s">
        <v>153</v>
      </c>
      <c r="N234" s="13" t="s">
        <v>152</v>
      </c>
      <c r="O234" s="12">
        <v>2</v>
      </c>
      <c r="P234" s="12" t="s">
        <v>174</v>
      </c>
      <c r="Q234" s="12" t="s">
        <v>868</v>
      </c>
      <c r="R234" s="12" t="s">
        <v>174</v>
      </c>
      <c r="S234" s="14" t="s">
        <v>166</v>
      </c>
      <c r="T234" s="12" t="s">
        <v>1110</v>
      </c>
      <c r="U234" s="14" t="s">
        <v>782</v>
      </c>
      <c r="V234" s="14"/>
      <c r="W234" s="14"/>
      <c r="X234" s="12"/>
      <c r="Y234" s="12"/>
      <c r="Z234" s="14"/>
      <c r="AA234" s="12"/>
      <c r="AB234" s="15"/>
      <c r="AC234" s="16">
        <v>0</v>
      </c>
      <c r="AD234" s="16">
        <v>0</v>
      </c>
      <c r="AE234" s="16">
        <v>1</v>
      </c>
      <c r="AF234" s="16">
        <v>0</v>
      </c>
      <c r="AG234" s="16">
        <v>0</v>
      </c>
      <c r="AH234" s="14" t="s">
        <v>166</v>
      </c>
      <c r="AI234" s="54"/>
      <c r="AJ234" s="54"/>
      <c r="AK234" s="54"/>
      <c r="AL234" s="54"/>
      <c r="AM234" s="54">
        <v>0</v>
      </c>
      <c r="AN234" s="14" t="s">
        <v>174</v>
      </c>
    </row>
    <row r="235" spans="1:40" ht="47.25" x14ac:dyDescent="0.25">
      <c r="A235" s="12" t="s">
        <v>1446</v>
      </c>
      <c r="B235" s="12" t="s">
        <v>1447</v>
      </c>
      <c r="C235" s="12" t="s">
        <v>1135</v>
      </c>
      <c r="D235" s="13" t="s">
        <v>848</v>
      </c>
      <c r="E235" s="13" t="s">
        <v>109</v>
      </c>
      <c r="F235" s="13">
        <v>4995</v>
      </c>
      <c r="G235" s="13" t="s">
        <v>55</v>
      </c>
      <c r="H235" s="13" t="s">
        <v>832</v>
      </c>
      <c r="I235" s="12"/>
      <c r="J235" s="13">
        <v>682405562</v>
      </c>
      <c r="K235" s="13"/>
      <c r="L235" s="13" t="s">
        <v>932</v>
      </c>
      <c r="M235" s="14" t="s">
        <v>1074</v>
      </c>
      <c r="N235" s="13" t="s">
        <v>1069</v>
      </c>
      <c r="O235" s="12">
        <v>2</v>
      </c>
      <c r="P235" s="12" t="s">
        <v>174</v>
      </c>
      <c r="Q235" s="12" t="s">
        <v>868</v>
      </c>
      <c r="R235" s="12" t="s">
        <v>174</v>
      </c>
      <c r="S235" s="14" t="s">
        <v>166</v>
      </c>
      <c r="T235" s="12" t="s">
        <v>1110</v>
      </c>
      <c r="U235" s="14" t="s">
        <v>781</v>
      </c>
      <c r="V235" s="14"/>
      <c r="W235" s="14"/>
      <c r="X235" s="12"/>
      <c r="Y235" s="12"/>
      <c r="Z235" s="14"/>
      <c r="AA235" s="12"/>
      <c r="AB235" s="15"/>
      <c r="AC235" s="16">
        <v>0</v>
      </c>
      <c r="AD235" s="16">
        <v>0</v>
      </c>
      <c r="AE235" s="16">
        <v>0</v>
      </c>
      <c r="AF235" s="16">
        <v>0</v>
      </c>
      <c r="AG235" s="16">
        <v>1</v>
      </c>
      <c r="AH235" s="14" t="s">
        <v>166</v>
      </c>
      <c r="AI235" s="54"/>
      <c r="AJ235" s="54"/>
      <c r="AK235" s="54"/>
      <c r="AL235" s="54"/>
      <c r="AM235" s="54">
        <v>1</v>
      </c>
      <c r="AN235" s="14" t="s">
        <v>166</v>
      </c>
    </row>
    <row r="236" spans="1:40" ht="173.25" x14ac:dyDescent="0.25">
      <c r="A236" s="12" t="s">
        <v>1448</v>
      </c>
      <c r="B236" s="12" t="s">
        <v>1449</v>
      </c>
      <c r="C236" s="12" t="s">
        <v>1135</v>
      </c>
      <c r="D236" s="13" t="s">
        <v>961</v>
      </c>
      <c r="E236" s="13" t="s">
        <v>103</v>
      </c>
      <c r="F236" s="13">
        <v>300</v>
      </c>
      <c r="G236" s="13" t="s">
        <v>55</v>
      </c>
      <c r="H236" s="13" t="s">
        <v>506</v>
      </c>
      <c r="I236" s="12"/>
      <c r="J236" s="13">
        <v>629867067</v>
      </c>
      <c r="K236" s="13"/>
      <c r="L236" s="13" t="s">
        <v>507</v>
      </c>
      <c r="M236" s="14" t="s">
        <v>1074</v>
      </c>
      <c r="N236" s="13" t="s">
        <v>1069</v>
      </c>
      <c r="O236" s="12">
        <v>6</v>
      </c>
      <c r="P236" s="12" t="s">
        <v>174</v>
      </c>
      <c r="Q236" s="12" t="s">
        <v>868</v>
      </c>
      <c r="R236" s="12" t="s">
        <v>174</v>
      </c>
      <c r="S236" s="14" t="s">
        <v>166</v>
      </c>
      <c r="T236" s="12" t="s">
        <v>1110</v>
      </c>
      <c r="U236" s="14" t="s">
        <v>781</v>
      </c>
      <c r="V236" s="14"/>
      <c r="W236" s="14"/>
      <c r="X236" s="12"/>
      <c r="Y236" s="12"/>
      <c r="Z236" s="14"/>
      <c r="AA236" s="12"/>
      <c r="AB236" s="15"/>
      <c r="AC236" s="16">
        <v>0</v>
      </c>
      <c r="AD236" s="16">
        <v>0</v>
      </c>
      <c r="AE236" s="16">
        <v>1</v>
      </c>
      <c r="AF236" s="16">
        <v>0</v>
      </c>
      <c r="AG236" s="16">
        <v>0</v>
      </c>
      <c r="AH236" s="14" t="s">
        <v>166</v>
      </c>
      <c r="AI236" s="54">
        <v>0</v>
      </c>
      <c r="AJ236" s="54">
        <v>0</v>
      </c>
      <c r="AK236" s="54">
        <v>1</v>
      </c>
      <c r="AL236" s="54">
        <v>0</v>
      </c>
      <c r="AM236" s="54">
        <v>0</v>
      </c>
      <c r="AN236" s="14" t="s">
        <v>166</v>
      </c>
    </row>
    <row r="237" spans="1:40" ht="173.25" x14ac:dyDescent="0.25">
      <c r="A237" s="12" t="s">
        <v>1448</v>
      </c>
      <c r="B237" s="12" t="s">
        <v>1449</v>
      </c>
      <c r="C237" s="12" t="s">
        <v>1135</v>
      </c>
      <c r="D237" s="13" t="s">
        <v>961</v>
      </c>
      <c r="E237" s="13" t="s">
        <v>103</v>
      </c>
      <c r="F237" s="13">
        <v>113</v>
      </c>
      <c r="G237" s="13" t="s">
        <v>55</v>
      </c>
      <c r="H237" s="13" t="s">
        <v>495</v>
      </c>
      <c r="I237" s="12"/>
      <c r="J237" s="13">
        <v>680623472</v>
      </c>
      <c r="K237" s="13"/>
      <c r="L237" s="13" t="s">
        <v>496</v>
      </c>
      <c r="M237" s="14" t="s">
        <v>1074</v>
      </c>
      <c r="N237" s="13" t="s">
        <v>1069</v>
      </c>
      <c r="O237" s="12">
        <v>6</v>
      </c>
      <c r="P237" s="12" t="s">
        <v>1045</v>
      </c>
      <c r="Q237" s="12" t="s">
        <v>868</v>
      </c>
      <c r="R237" s="12" t="s">
        <v>174</v>
      </c>
      <c r="S237" s="14" t="s">
        <v>166</v>
      </c>
      <c r="T237" s="12" t="s">
        <v>174</v>
      </c>
      <c r="U237" s="14" t="s">
        <v>781</v>
      </c>
      <c r="V237" s="14"/>
      <c r="W237" s="14"/>
      <c r="X237" s="12"/>
      <c r="Y237" s="12"/>
      <c r="Z237" s="14"/>
      <c r="AA237" s="12"/>
      <c r="AB237" s="15"/>
      <c r="AC237" s="16">
        <v>0</v>
      </c>
      <c r="AD237" s="16">
        <v>0</v>
      </c>
      <c r="AE237" s="16">
        <v>1</v>
      </c>
      <c r="AF237" s="16">
        <v>0</v>
      </c>
      <c r="AG237" s="16">
        <v>0</v>
      </c>
      <c r="AH237" s="14" t="s">
        <v>166</v>
      </c>
      <c r="AI237" s="54">
        <v>0</v>
      </c>
      <c r="AJ237" s="54">
        <v>0</v>
      </c>
      <c r="AK237" s="54">
        <v>1</v>
      </c>
      <c r="AL237" s="54">
        <v>0</v>
      </c>
      <c r="AM237" s="54">
        <v>0</v>
      </c>
      <c r="AN237" s="14" t="s">
        <v>166</v>
      </c>
    </row>
    <row r="238" spans="1:40" ht="173.25" x14ac:dyDescent="0.25">
      <c r="A238" s="12" t="s">
        <v>1448</v>
      </c>
      <c r="B238" s="12" t="s">
        <v>1449</v>
      </c>
      <c r="C238" s="12" t="s">
        <v>1135</v>
      </c>
      <c r="D238" s="13" t="s">
        <v>961</v>
      </c>
      <c r="E238" s="13" t="s">
        <v>103</v>
      </c>
      <c r="F238" s="13">
        <v>1099</v>
      </c>
      <c r="G238" s="13" t="s">
        <v>55</v>
      </c>
      <c r="H238" s="13" t="s">
        <v>501</v>
      </c>
      <c r="I238" s="12"/>
      <c r="J238" s="13">
        <v>689689735</v>
      </c>
      <c r="K238" s="13"/>
      <c r="L238" s="13" t="s">
        <v>502</v>
      </c>
      <c r="M238" s="14" t="s">
        <v>1073</v>
      </c>
      <c r="N238" s="13" t="s">
        <v>1068</v>
      </c>
      <c r="O238" s="12">
        <v>4</v>
      </c>
      <c r="P238" s="12" t="s">
        <v>174</v>
      </c>
      <c r="Q238" s="12" t="s">
        <v>868</v>
      </c>
      <c r="R238" s="12" t="s">
        <v>174</v>
      </c>
      <c r="S238" s="14" t="s">
        <v>166</v>
      </c>
      <c r="T238" s="12" t="s">
        <v>1110</v>
      </c>
      <c r="U238" s="14" t="s">
        <v>780</v>
      </c>
      <c r="V238" s="14"/>
      <c r="W238" s="14"/>
      <c r="X238" s="12"/>
      <c r="Y238" s="12"/>
      <c r="Z238" s="14"/>
      <c r="AA238" s="12"/>
      <c r="AB238" s="15"/>
      <c r="AC238" s="16">
        <v>0</v>
      </c>
      <c r="AD238" s="16">
        <v>1</v>
      </c>
      <c r="AE238" s="16">
        <v>0</v>
      </c>
      <c r="AF238" s="16">
        <v>0</v>
      </c>
      <c r="AG238" s="16">
        <v>0</v>
      </c>
      <c r="AH238" s="14" t="s">
        <v>166</v>
      </c>
      <c r="AI238" s="54">
        <v>0</v>
      </c>
      <c r="AJ238" s="54">
        <v>1</v>
      </c>
      <c r="AK238" s="54">
        <v>0</v>
      </c>
      <c r="AL238" s="54">
        <v>0</v>
      </c>
      <c r="AM238" s="54">
        <v>0</v>
      </c>
      <c r="AN238" s="14" t="s">
        <v>166</v>
      </c>
    </row>
    <row r="239" spans="1:40" ht="94.5" x14ac:dyDescent="0.25">
      <c r="A239" s="12" t="s">
        <v>1450</v>
      </c>
      <c r="B239" s="12" t="s">
        <v>1451</v>
      </c>
      <c r="C239" s="12" t="s">
        <v>1135</v>
      </c>
      <c r="D239" s="13" t="s">
        <v>962</v>
      </c>
      <c r="E239" s="13" t="s">
        <v>102</v>
      </c>
      <c r="F239" s="13">
        <v>84</v>
      </c>
      <c r="G239" s="13" t="s">
        <v>55</v>
      </c>
      <c r="H239" s="13" t="s">
        <v>468</v>
      </c>
      <c r="I239" s="12"/>
      <c r="J239" s="13">
        <v>618940535</v>
      </c>
      <c r="K239" s="13"/>
      <c r="L239" s="13" t="s">
        <v>469</v>
      </c>
      <c r="M239" s="14" t="s">
        <v>1074</v>
      </c>
      <c r="N239" s="13" t="s">
        <v>1069</v>
      </c>
      <c r="O239" s="12">
        <v>6</v>
      </c>
      <c r="P239" s="12" t="s">
        <v>174</v>
      </c>
      <c r="Q239" s="12" t="s">
        <v>868</v>
      </c>
      <c r="R239" s="12" t="s">
        <v>174</v>
      </c>
      <c r="S239" s="14" t="s">
        <v>166</v>
      </c>
      <c r="T239" s="12" t="s">
        <v>1110</v>
      </c>
      <c r="U239" s="14" t="s">
        <v>781</v>
      </c>
      <c r="V239" s="14"/>
      <c r="W239" s="14"/>
      <c r="X239" s="12"/>
      <c r="Y239" s="12"/>
      <c r="Z239" s="14"/>
      <c r="AA239" s="12"/>
      <c r="AB239" s="15"/>
      <c r="AC239" s="16">
        <v>0</v>
      </c>
      <c r="AD239" s="16">
        <v>1</v>
      </c>
      <c r="AE239" s="16">
        <v>0</v>
      </c>
      <c r="AF239" s="16">
        <v>0</v>
      </c>
      <c r="AG239" s="16">
        <v>0</v>
      </c>
      <c r="AH239" s="14" t="s">
        <v>166</v>
      </c>
      <c r="AI239" s="54">
        <v>0</v>
      </c>
      <c r="AJ239" s="54">
        <v>1</v>
      </c>
      <c r="AK239" s="54">
        <v>1</v>
      </c>
      <c r="AL239" s="54">
        <v>0</v>
      </c>
      <c r="AM239" s="54">
        <v>0</v>
      </c>
      <c r="AN239" s="14" t="s">
        <v>166</v>
      </c>
    </row>
    <row r="240" spans="1:40" ht="47.25" x14ac:dyDescent="0.25">
      <c r="A240" s="12" t="s">
        <v>1452</v>
      </c>
      <c r="B240" s="12" t="s">
        <v>1453</v>
      </c>
      <c r="C240" s="12" t="s">
        <v>1135</v>
      </c>
      <c r="D240" s="13" t="s">
        <v>1086</v>
      </c>
      <c r="E240" s="13" t="s">
        <v>1087</v>
      </c>
      <c r="F240" s="13">
        <v>3424</v>
      </c>
      <c r="G240" s="13" t="s">
        <v>55</v>
      </c>
      <c r="H240" s="13" t="s">
        <v>775</v>
      </c>
      <c r="I240" s="12"/>
      <c r="J240" s="13">
        <v>619941423</v>
      </c>
      <c r="K240" s="13"/>
      <c r="L240" s="13" t="s">
        <v>776</v>
      </c>
      <c r="M240" s="14" t="s">
        <v>1073</v>
      </c>
      <c r="N240" s="13" t="s">
        <v>1068</v>
      </c>
      <c r="O240" s="12">
        <v>3</v>
      </c>
      <c r="P240" s="12" t="s">
        <v>174</v>
      </c>
      <c r="Q240" s="12" t="s">
        <v>868</v>
      </c>
      <c r="R240" s="12" t="s">
        <v>174</v>
      </c>
      <c r="S240" s="14" t="s">
        <v>166</v>
      </c>
      <c r="T240" s="12" t="s">
        <v>1110</v>
      </c>
      <c r="U240" s="14" t="s">
        <v>780</v>
      </c>
      <c r="V240" s="14"/>
      <c r="W240" s="14"/>
      <c r="X240" s="12"/>
      <c r="Y240" s="12"/>
      <c r="Z240" s="14"/>
      <c r="AA240" s="12"/>
      <c r="AB240" s="15"/>
      <c r="AC240" s="16">
        <v>0</v>
      </c>
      <c r="AD240" s="16">
        <v>0</v>
      </c>
      <c r="AE240" s="16">
        <v>1</v>
      </c>
      <c r="AF240" s="16">
        <v>0</v>
      </c>
      <c r="AG240" s="16">
        <v>0</v>
      </c>
      <c r="AH240" s="14" t="s">
        <v>166</v>
      </c>
      <c r="AI240" s="54">
        <v>0</v>
      </c>
      <c r="AJ240" s="54">
        <v>0</v>
      </c>
      <c r="AK240" s="54">
        <v>1</v>
      </c>
      <c r="AL240" s="54">
        <v>0</v>
      </c>
      <c r="AM240" s="54">
        <v>0</v>
      </c>
      <c r="AN240" s="14" t="s">
        <v>166</v>
      </c>
    </row>
    <row r="241" spans="1:40" ht="47.25" x14ac:dyDescent="0.25">
      <c r="A241" s="12" t="s">
        <v>1452</v>
      </c>
      <c r="B241" s="12" t="s">
        <v>1453</v>
      </c>
      <c r="C241" s="12" t="s">
        <v>1135</v>
      </c>
      <c r="D241" s="13" t="s">
        <v>1086</v>
      </c>
      <c r="E241" s="13" t="s">
        <v>1087</v>
      </c>
      <c r="F241" s="13">
        <v>3786</v>
      </c>
      <c r="G241" s="13" t="s">
        <v>55</v>
      </c>
      <c r="H241" s="13" t="s">
        <v>769</v>
      </c>
      <c r="I241" s="12"/>
      <c r="J241" s="13">
        <v>681017022</v>
      </c>
      <c r="K241" s="13"/>
      <c r="L241" s="13" t="s">
        <v>770</v>
      </c>
      <c r="M241" s="14" t="s">
        <v>1073</v>
      </c>
      <c r="N241" s="13" t="s">
        <v>1068</v>
      </c>
      <c r="O241" s="12">
        <v>3</v>
      </c>
      <c r="P241" s="12" t="s">
        <v>174</v>
      </c>
      <c r="Q241" s="12" t="s">
        <v>868</v>
      </c>
      <c r="R241" s="12" t="s">
        <v>174</v>
      </c>
      <c r="S241" s="14" t="s">
        <v>166</v>
      </c>
      <c r="T241" s="12" t="s">
        <v>1110</v>
      </c>
      <c r="U241" s="14" t="s">
        <v>780</v>
      </c>
      <c r="V241" s="14"/>
      <c r="W241" s="14"/>
      <c r="X241" s="12"/>
      <c r="Y241" s="12"/>
      <c r="Z241" s="14"/>
      <c r="AA241" s="12"/>
      <c r="AB241" s="15"/>
      <c r="AC241" s="16">
        <v>0</v>
      </c>
      <c r="AD241" s="16">
        <v>0</v>
      </c>
      <c r="AE241" s="16">
        <v>0</v>
      </c>
      <c r="AF241" s="16">
        <v>0</v>
      </c>
      <c r="AG241" s="16">
        <v>1</v>
      </c>
      <c r="AH241" s="14" t="s">
        <v>166</v>
      </c>
      <c r="AI241" s="54">
        <v>0</v>
      </c>
      <c r="AJ241" s="54">
        <v>0</v>
      </c>
      <c r="AK241" s="54">
        <v>0</v>
      </c>
      <c r="AL241" s="54">
        <v>0</v>
      </c>
      <c r="AM241" s="54">
        <v>1</v>
      </c>
      <c r="AN241" s="14" t="s">
        <v>166</v>
      </c>
    </row>
    <row r="242" spans="1:40" ht="173.25" x14ac:dyDescent="0.25">
      <c r="A242" s="12" t="s">
        <v>1454</v>
      </c>
      <c r="B242" s="12" t="s">
        <v>1455</v>
      </c>
      <c r="C242" s="12" t="s">
        <v>1135</v>
      </c>
      <c r="D242" s="13" t="s">
        <v>961</v>
      </c>
      <c r="E242" s="13" t="s">
        <v>103</v>
      </c>
      <c r="F242" s="13">
        <v>694</v>
      </c>
      <c r="G242" s="13" t="s">
        <v>40</v>
      </c>
      <c r="H242" s="13" t="s">
        <v>497</v>
      </c>
      <c r="I242" s="12"/>
      <c r="J242" s="13">
        <v>682833059</v>
      </c>
      <c r="K242" s="13"/>
      <c r="L242" s="13" t="s">
        <v>498</v>
      </c>
      <c r="M242" s="14" t="s">
        <v>1073</v>
      </c>
      <c r="N242" s="13" t="s">
        <v>1068</v>
      </c>
      <c r="O242" s="12">
        <v>4</v>
      </c>
      <c r="P242" s="12" t="s">
        <v>174</v>
      </c>
      <c r="Q242" s="12" t="s">
        <v>868</v>
      </c>
      <c r="R242" s="12" t="s">
        <v>174</v>
      </c>
      <c r="S242" s="14" t="s">
        <v>166</v>
      </c>
      <c r="T242" s="12" t="s">
        <v>174</v>
      </c>
      <c r="U242" s="14" t="s">
        <v>780</v>
      </c>
      <c r="V242" s="14"/>
      <c r="W242" s="14"/>
      <c r="X242" s="12"/>
      <c r="Y242" s="12"/>
      <c r="Z242" s="14"/>
      <c r="AA242" s="12"/>
      <c r="AB242" s="15"/>
      <c r="AC242" s="16">
        <v>1</v>
      </c>
      <c r="AD242" s="16">
        <v>0</v>
      </c>
      <c r="AE242" s="16">
        <v>0</v>
      </c>
      <c r="AF242" s="16">
        <v>0</v>
      </c>
      <c r="AG242" s="16">
        <v>0</v>
      </c>
      <c r="AH242" s="14" t="s">
        <v>166</v>
      </c>
      <c r="AI242" s="54">
        <v>1</v>
      </c>
      <c r="AJ242" s="54">
        <v>0</v>
      </c>
      <c r="AK242" s="54">
        <v>0</v>
      </c>
      <c r="AL242" s="54">
        <v>0</v>
      </c>
      <c r="AM242" s="54">
        <v>0</v>
      </c>
      <c r="AN242" s="14" t="s">
        <v>166</v>
      </c>
    </row>
    <row r="243" spans="1:40" ht="173.25" x14ac:dyDescent="0.25">
      <c r="A243" s="12" t="s">
        <v>1454</v>
      </c>
      <c r="B243" s="12" t="s">
        <v>1455</v>
      </c>
      <c r="C243" s="12" t="s">
        <v>1135</v>
      </c>
      <c r="D243" s="13" t="s">
        <v>961</v>
      </c>
      <c r="E243" s="13" t="s">
        <v>103</v>
      </c>
      <c r="F243" s="13">
        <v>2373</v>
      </c>
      <c r="G243" s="13" t="s">
        <v>40</v>
      </c>
      <c r="H243" s="13" t="s">
        <v>493</v>
      </c>
      <c r="I243" s="12"/>
      <c r="J243" s="13">
        <v>699783928</v>
      </c>
      <c r="K243" s="13"/>
      <c r="L243" s="13" t="s">
        <v>494</v>
      </c>
      <c r="M243" s="14" t="s">
        <v>1074</v>
      </c>
      <c r="N243" s="13" t="s">
        <v>1069</v>
      </c>
      <c r="O243" s="12">
        <v>6</v>
      </c>
      <c r="P243" s="12" t="s">
        <v>174</v>
      </c>
      <c r="Q243" s="12" t="s">
        <v>868</v>
      </c>
      <c r="R243" s="12" t="s">
        <v>174</v>
      </c>
      <c r="S243" s="14" t="s">
        <v>166</v>
      </c>
      <c r="T243" s="12" t="s">
        <v>174</v>
      </c>
      <c r="U243" s="14" t="s">
        <v>781</v>
      </c>
      <c r="V243" s="14"/>
      <c r="W243" s="14"/>
      <c r="X243" s="12"/>
      <c r="Y243" s="12"/>
      <c r="Z243" s="14"/>
      <c r="AA243" s="12"/>
      <c r="AB243" s="15"/>
      <c r="AC243" s="16">
        <v>0</v>
      </c>
      <c r="AD243" s="16">
        <v>0</v>
      </c>
      <c r="AE243" s="16">
        <v>0</v>
      </c>
      <c r="AF243" s="16">
        <v>1</v>
      </c>
      <c r="AG243" s="16">
        <v>0</v>
      </c>
      <c r="AH243" s="14" t="s">
        <v>166</v>
      </c>
      <c r="AI243" s="54">
        <v>0</v>
      </c>
      <c r="AJ243" s="54">
        <v>0</v>
      </c>
      <c r="AK243" s="54">
        <v>0</v>
      </c>
      <c r="AL243" s="54">
        <v>1</v>
      </c>
      <c r="AM243" s="54">
        <v>0</v>
      </c>
      <c r="AN243" s="14" t="s">
        <v>166</v>
      </c>
    </row>
    <row r="244" spans="1:40" ht="173.25" x14ac:dyDescent="0.25">
      <c r="A244" s="12" t="s">
        <v>1454</v>
      </c>
      <c r="B244" s="12" t="s">
        <v>1455</v>
      </c>
      <c r="C244" s="12" t="s">
        <v>1135</v>
      </c>
      <c r="D244" s="13" t="s">
        <v>961</v>
      </c>
      <c r="E244" s="13" t="s">
        <v>103</v>
      </c>
      <c r="F244" s="13">
        <v>1079</v>
      </c>
      <c r="G244" s="13" t="s">
        <v>40</v>
      </c>
      <c r="H244" s="13" t="s">
        <v>499</v>
      </c>
      <c r="I244" s="12"/>
      <c r="J244" s="13">
        <v>679007561</v>
      </c>
      <c r="K244" s="13"/>
      <c r="L244" s="13" t="s">
        <v>500</v>
      </c>
      <c r="M244" s="14" t="s">
        <v>1073</v>
      </c>
      <c r="N244" s="13" t="s">
        <v>1068</v>
      </c>
      <c r="O244" s="12">
        <v>4</v>
      </c>
      <c r="P244" s="12" t="s">
        <v>174</v>
      </c>
      <c r="Q244" s="12" t="s">
        <v>868</v>
      </c>
      <c r="R244" s="12" t="s">
        <v>174</v>
      </c>
      <c r="S244" s="14" t="s">
        <v>166</v>
      </c>
      <c r="T244" s="12" t="s">
        <v>174</v>
      </c>
      <c r="U244" s="14" t="s">
        <v>780</v>
      </c>
      <c r="V244" s="14"/>
      <c r="W244" s="14"/>
      <c r="X244" s="12"/>
      <c r="Y244" s="12"/>
      <c r="Z244" s="14"/>
      <c r="AA244" s="12"/>
      <c r="AB244" s="15"/>
      <c r="AC244" s="16">
        <v>0</v>
      </c>
      <c r="AD244" s="16">
        <v>0</v>
      </c>
      <c r="AE244" s="16">
        <v>1</v>
      </c>
      <c r="AF244" s="16">
        <v>0</v>
      </c>
      <c r="AG244" s="16">
        <v>0</v>
      </c>
      <c r="AH244" s="14" t="s">
        <v>166</v>
      </c>
      <c r="AI244" s="54">
        <v>0</v>
      </c>
      <c r="AJ244" s="54">
        <v>0</v>
      </c>
      <c r="AK244" s="54">
        <v>1</v>
      </c>
      <c r="AL244" s="54">
        <v>0</v>
      </c>
      <c r="AM244" s="54">
        <v>0</v>
      </c>
      <c r="AN244" s="14" t="s">
        <v>166</v>
      </c>
    </row>
    <row r="245" spans="1:40" ht="94.5" x14ac:dyDescent="0.25">
      <c r="A245" s="12" t="s">
        <v>1456</v>
      </c>
      <c r="B245" s="12" t="s">
        <v>1457</v>
      </c>
      <c r="C245" s="12" t="s">
        <v>1135</v>
      </c>
      <c r="D245" s="13" t="s">
        <v>962</v>
      </c>
      <c r="E245" s="13" t="s">
        <v>102</v>
      </c>
      <c r="F245" s="13">
        <v>3899</v>
      </c>
      <c r="G245" s="13" t="s">
        <v>40</v>
      </c>
      <c r="H245" s="13" t="s">
        <v>465</v>
      </c>
      <c r="I245" s="12"/>
      <c r="J245" s="13">
        <v>669948297</v>
      </c>
      <c r="K245" s="13"/>
      <c r="L245" s="13" t="s">
        <v>929</v>
      </c>
      <c r="M245" s="14" t="s">
        <v>1074</v>
      </c>
      <c r="N245" s="13" t="s">
        <v>1069</v>
      </c>
      <c r="O245" s="12">
        <v>6</v>
      </c>
      <c r="P245" s="12" t="s">
        <v>1045</v>
      </c>
      <c r="Q245" s="12" t="s">
        <v>174</v>
      </c>
      <c r="R245" s="12" t="s">
        <v>174</v>
      </c>
      <c r="S245" s="14" t="s">
        <v>166</v>
      </c>
      <c r="T245" s="12" t="s">
        <v>174</v>
      </c>
      <c r="U245" s="14" t="s">
        <v>781</v>
      </c>
      <c r="V245" s="14"/>
      <c r="W245" s="14"/>
      <c r="X245" s="12"/>
      <c r="Y245" s="12"/>
      <c r="Z245" s="14"/>
      <c r="AA245" s="12"/>
      <c r="AB245" s="15"/>
      <c r="AC245" s="16">
        <v>0</v>
      </c>
      <c r="AD245" s="16">
        <v>0</v>
      </c>
      <c r="AE245" s="16">
        <v>0</v>
      </c>
      <c r="AF245" s="16">
        <v>0</v>
      </c>
      <c r="AG245" s="16">
        <v>1</v>
      </c>
      <c r="AH245" s="14" t="s">
        <v>166</v>
      </c>
      <c r="AI245" s="54">
        <v>0</v>
      </c>
      <c r="AJ245" s="54">
        <v>0</v>
      </c>
      <c r="AK245" s="54">
        <v>0</v>
      </c>
      <c r="AL245" s="54">
        <v>0</v>
      </c>
      <c r="AM245" s="54">
        <v>1</v>
      </c>
      <c r="AN245" s="14" t="s">
        <v>166</v>
      </c>
    </row>
    <row r="246" spans="1:40" ht="47.25" x14ac:dyDescent="0.25">
      <c r="A246" s="12" t="s">
        <v>1458</v>
      </c>
      <c r="B246" s="12" t="s">
        <v>1459</v>
      </c>
      <c r="C246" s="12" t="s">
        <v>1135</v>
      </c>
      <c r="D246" s="13" t="s">
        <v>960</v>
      </c>
      <c r="E246" s="13" t="s">
        <v>970</v>
      </c>
      <c r="F246" s="13">
        <v>6629</v>
      </c>
      <c r="G246" s="13" t="s">
        <v>40</v>
      </c>
      <c r="H246" s="13" t="s">
        <v>1033</v>
      </c>
      <c r="I246" s="12"/>
      <c r="J246" s="13">
        <v>639480630</v>
      </c>
      <c r="K246" s="13"/>
      <c r="L246" s="13" t="s">
        <v>1055</v>
      </c>
      <c r="M246" s="14" t="s">
        <v>1073</v>
      </c>
      <c r="N246" s="13" t="s">
        <v>1068</v>
      </c>
      <c r="O246" s="12" t="s">
        <v>53</v>
      </c>
      <c r="P246" s="12" t="s">
        <v>174</v>
      </c>
      <c r="Q246" s="12" t="s">
        <v>868</v>
      </c>
      <c r="R246" s="12" t="s">
        <v>174</v>
      </c>
      <c r="S246" s="14" t="s">
        <v>166</v>
      </c>
      <c r="T246" s="12" t="s">
        <v>1199</v>
      </c>
      <c r="U246" s="14" t="s">
        <v>780</v>
      </c>
      <c r="V246" s="14"/>
      <c r="W246" s="14"/>
      <c r="X246" s="12"/>
      <c r="Y246" s="12"/>
      <c r="Z246" s="14"/>
      <c r="AA246" s="12"/>
      <c r="AB246" s="15"/>
      <c r="AC246" s="16">
        <v>0</v>
      </c>
      <c r="AD246" s="16">
        <v>0</v>
      </c>
      <c r="AE246" s="16">
        <v>0</v>
      </c>
      <c r="AF246" s="16">
        <v>0</v>
      </c>
      <c r="AG246" s="16">
        <v>0</v>
      </c>
      <c r="AH246" s="14" t="s">
        <v>174</v>
      </c>
      <c r="AI246" s="54">
        <v>0</v>
      </c>
      <c r="AJ246" s="54">
        <v>0</v>
      </c>
      <c r="AK246" s="54">
        <v>0</v>
      </c>
      <c r="AL246" s="54">
        <v>0</v>
      </c>
      <c r="AM246" s="54">
        <v>0</v>
      </c>
      <c r="AN246" s="14" t="s">
        <v>174</v>
      </c>
    </row>
    <row r="247" spans="1:40" ht="47.25" x14ac:dyDescent="0.25">
      <c r="A247" s="12" t="s">
        <v>1458</v>
      </c>
      <c r="B247" s="12" t="s">
        <v>1459</v>
      </c>
      <c r="C247" s="12" t="s">
        <v>1135</v>
      </c>
      <c r="D247" s="13" t="s">
        <v>960</v>
      </c>
      <c r="E247" s="13" t="s">
        <v>970</v>
      </c>
      <c r="F247" s="13">
        <v>473</v>
      </c>
      <c r="G247" s="13" t="s">
        <v>40</v>
      </c>
      <c r="H247" s="13" t="s">
        <v>550</v>
      </c>
      <c r="I247" s="12"/>
      <c r="J247" s="13">
        <v>606677948</v>
      </c>
      <c r="K247" s="13"/>
      <c r="L247" s="13" t="s">
        <v>551</v>
      </c>
      <c r="M247" s="14" t="s">
        <v>1074</v>
      </c>
      <c r="N247" s="13" t="s">
        <v>1069</v>
      </c>
      <c r="O247" s="12" t="s">
        <v>53</v>
      </c>
      <c r="P247" s="12" t="s">
        <v>174</v>
      </c>
      <c r="Q247" s="12" t="s">
        <v>868</v>
      </c>
      <c r="R247" s="12" t="s">
        <v>174</v>
      </c>
      <c r="S247" s="14" t="s">
        <v>166</v>
      </c>
      <c r="T247" s="12" t="s">
        <v>1110</v>
      </c>
      <c r="U247" s="14" t="s">
        <v>781</v>
      </c>
      <c r="V247" s="14"/>
      <c r="W247" s="14"/>
      <c r="X247" s="12"/>
      <c r="Y247" s="12"/>
      <c r="Z247" s="14"/>
      <c r="AA247" s="12"/>
      <c r="AB247" s="15"/>
      <c r="AC247" s="16">
        <v>0</v>
      </c>
      <c r="AD247" s="16">
        <v>0</v>
      </c>
      <c r="AE247" s="16">
        <v>0</v>
      </c>
      <c r="AF247" s="16">
        <v>0</v>
      </c>
      <c r="AG247" s="16">
        <v>0</v>
      </c>
      <c r="AH247" s="14" t="s">
        <v>174</v>
      </c>
      <c r="AI247" s="54">
        <v>0</v>
      </c>
      <c r="AJ247" s="54">
        <v>0</v>
      </c>
      <c r="AK247" s="54">
        <v>0</v>
      </c>
      <c r="AL247" s="54">
        <v>0</v>
      </c>
      <c r="AM247" s="54">
        <v>0</v>
      </c>
      <c r="AN247" s="14" t="s">
        <v>174</v>
      </c>
    </row>
    <row r="248" spans="1:40" ht="47.25" x14ac:dyDescent="0.25">
      <c r="A248" s="12" t="s">
        <v>1460</v>
      </c>
      <c r="B248" s="12" t="s">
        <v>1461</v>
      </c>
      <c r="C248" s="12" t="s">
        <v>1135</v>
      </c>
      <c r="D248" s="13" t="s">
        <v>1086</v>
      </c>
      <c r="E248" s="13" t="s">
        <v>1087</v>
      </c>
      <c r="F248" s="13">
        <v>1480</v>
      </c>
      <c r="G248" s="13" t="s">
        <v>40</v>
      </c>
      <c r="H248" s="13" t="s">
        <v>767</v>
      </c>
      <c r="I248" s="12"/>
      <c r="J248" s="13">
        <v>689483586</v>
      </c>
      <c r="K248" s="13"/>
      <c r="L248" s="13" t="s">
        <v>768</v>
      </c>
      <c r="M248" s="14" t="s">
        <v>1073</v>
      </c>
      <c r="N248" s="13" t="s">
        <v>1068</v>
      </c>
      <c r="O248" s="12">
        <v>3</v>
      </c>
      <c r="P248" s="12" t="s">
        <v>174</v>
      </c>
      <c r="Q248" s="12" t="s">
        <v>868</v>
      </c>
      <c r="R248" s="12" t="s">
        <v>174</v>
      </c>
      <c r="S248" s="14" t="s">
        <v>166</v>
      </c>
      <c r="T248" s="12" t="s">
        <v>1110</v>
      </c>
      <c r="U248" s="14" t="s">
        <v>780</v>
      </c>
      <c r="V248" s="14"/>
      <c r="W248" s="14"/>
      <c r="X248" s="12"/>
      <c r="Y248" s="12"/>
      <c r="Z248" s="14"/>
      <c r="AA248" s="12"/>
      <c r="AB248" s="15"/>
      <c r="AC248" s="16">
        <v>0</v>
      </c>
      <c r="AD248" s="16">
        <v>0</v>
      </c>
      <c r="AE248" s="16">
        <v>1</v>
      </c>
      <c r="AF248" s="16">
        <v>0</v>
      </c>
      <c r="AG248" s="16">
        <v>0</v>
      </c>
      <c r="AH248" s="14" t="s">
        <v>166</v>
      </c>
      <c r="AI248" s="54">
        <v>0</v>
      </c>
      <c r="AJ248" s="54">
        <v>0</v>
      </c>
      <c r="AK248" s="54">
        <v>1</v>
      </c>
      <c r="AL248" s="54">
        <v>0</v>
      </c>
      <c r="AM248" s="54">
        <v>0</v>
      </c>
      <c r="AN248" s="14" t="s">
        <v>166</v>
      </c>
    </row>
    <row r="249" spans="1:40" ht="47.25" x14ac:dyDescent="0.25">
      <c r="A249" s="12" t="s">
        <v>1460</v>
      </c>
      <c r="B249" s="12" t="s">
        <v>1461</v>
      </c>
      <c r="C249" s="12" t="s">
        <v>1135</v>
      </c>
      <c r="D249" s="13" t="s">
        <v>1086</v>
      </c>
      <c r="E249" s="13" t="s">
        <v>1087</v>
      </c>
      <c r="F249" s="13">
        <v>4743</v>
      </c>
      <c r="G249" s="13" t="s">
        <v>40</v>
      </c>
      <c r="H249" s="13" t="s">
        <v>771</v>
      </c>
      <c r="I249" s="12"/>
      <c r="J249" s="13">
        <v>680299901</v>
      </c>
      <c r="K249" s="13"/>
      <c r="L249" s="13" t="s">
        <v>772</v>
      </c>
      <c r="M249" s="14" t="s">
        <v>1073</v>
      </c>
      <c r="N249" s="13" t="s">
        <v>1068</v>
      </c>
      <c r="O249" s="12">
        <v>4</v>
      </c>
      <c r="P249" s="12" t="s">
        <v>174</v>
      </c>
      <c r="Q249" s="12" t="s">
        <v>868</v>
      </c>
      <c r="R249" s="12" t="s">
        <v>174</v>
      </c>
      <c r="S249" s="14" t="s">
        <v>166</v>
      </c>
      <c r="T249" s="12" t="s">
        <v>1110</v>
      </c>
      <c r="U249" s="14" t="s">
        <v>780</v>
      </c>
      <c r="V249" s="14"/>
      <c r="W249" s="14"/>
      <c r="X249" s="12"/>
      <c r="Y249" s="12"/>
      <c r="Z249" s="14"/>
      <c r="AA249" s="12"/>
      <c r="AB249" s="15"/>
      <c r="AC249" s="16">
        <v>0</v>
      </c>
      <c r="AD249" s="16">
        <v>0</v>
      </c>
      <c r="AE249" s="16">
        <v>0</v>
      </c>
      <c r="AF249" s="16">
        <v>0</v>
      </c>
      <c r="AG249" s="16">
        <v>1</v>
      </c>
      <c r="AH249" s="14" t="s">
        <v>166</v>
      </c>
      <c r="AI249" s="54"/>
      <c r="AJ249" s="54"/>
      <c r="AK249" s="54"/>
      <c r="AL249" s="54"/>
      <c r="AM249" s="54">
        <v>1</v>
      </c>
      <c r="AN249" s="14" t="s">
        <v>166</v>
      </c>
    </row>
    <row r="250" spans="1:40" ht="47.25" x14ac:dyDescent="0.25">
      <c r="A250" s="12" t="s">
        <v>1462</v>
      </c>
      <c r="B250" s="12" t="s">
        <v>1463</v>
      </c>
      <c r="C250" s="12" t="s">
        <v>1135</v>
      </c>
      <c r="D250" s="13" t="s">
        <v>959</v>
      </c>
      <c r="E250" s="13" t="s">
        <v>104</v>
      </c>
      <c r="F250" s="13">
        <v>1059</v>
      </c>
      <c r="G250" s="13" t="s">
        <v>41</v>
      </c>
      <c r="H250" s="13" t="s">
        <v>460</v>
      </c>
      <c r="I250" s="12"/>
      <c r="J250" s="13">
        <v>608630001</v>
      </c>
      <c r="K250" s="13"/>
      <c r="L250" s="13" t="s">
        <v>461</v>
      </c>
      <c r="M250" s="14" t="s">
        <v>1073</v>
      </c>
      <c r="N250" s="13" t="s">
        <v>1068</v>
      </c>
      <c r="O250" s="12">
        <v>4</v>
      </c>
      <c r="P250" s="12" t="s">
        <v>174</v>
      </c>
      <c r="Q250" s="12" t="s">
        <v>868</v>
      </c>
      <c r="R250" s="12" t="s">
        <v>174</v>
      </c>
      <c r="S250" s="14" t="s">
        <v>166</v>
      </c>
      <c r="T250" s="12" t="s">
        <v>1110</v>
      </c>
      <c r="U250" s="14" t="s">
        <v>780</v>
      </c>
      <c r="V250" s="14"/>
      <c r="W250" s="14"/>
      <c r="X250" s="12"/>
      <c r="Y250" s="12"/>
      <c r="Z250" s="14"/>
      <c r="AA250" s="12"/>
      <c r="AB250" s="15"/>
      <c r="AC250" s="16">
        <v>1</v>
      </c>
      <c r="AD250" s="16">
        <v>1</v>
      </c>
      <c r="AE250" s="16">
        <v>0</v>
      </c>
      <c r="AF250" s="16">
        <v>0</v>
      </c>
      <c r="AG250" s="16">
        <v>0</v>
      </c>
      <c r="AH250" s="14" t="s">
        <v>166</v>
      </c>
      <c r="AI250" s="54">
        <v>1</v>
      </c>
      <c r="AJ250" s="54">
        <v>1</v>
      </c>
      <c r="AK250" s="54">
        <v>1</v>
      </c>
      <c r="AL250" s="54">
        <v>1</v>
      </c>
      <c r="AM250" s="54">
        <v>0</v>
      </c>
      <c r="AN250" s="14" t="s">
        <v>166</v>
      </c>
    </row>
    <row r="251" spans="1:40" ht="173.25" x14ac:dyDescent="0.25">
      <c r="A251" s="12" t="s">
        <v>1464</v>
      </c>
      <c r="B251" s="12" t="s">
        <v>1465</v>
      </c>
      <c r="C251" s="12" t="s">
        <v>1135</v>
      </c>
      <c r="D251" s="13" t="s">
        <v>961</v>
      </c>
      <c r="E251" s="13" t="s">
        <v>103</v>
      </c>
      <c r="F251" s="13">
        <v>2287</v>
      </c>
      <c r="G251" s="13" t="s">
        <v>41</v>
      </c>
      <c r="H251" s="13" t="s">
        <v>491</v>
      </c>
      <c r="I251" s="12"/>
      <c r="J251" s="13">
        <v>680698937</v>
      </c>
      <c r="K251" s="13"/>
      <c r="L251" s="13" t="s">
        <v>492</v>
      </c>
      <c r="M251" s="14" t="s">
        <v>1074</v>
      </c>
      <c r="N251" s="13" t="s">
        <v>1069</v>
      </c>
      <c r="O251" s="12">
        <v>6</v>
      </c>
      <c r="P251" s="12" t="s">
        <v>1045</v>
      </c>
      <c r="Q251" s="12" t="s">
        <v>174</v>
      </c>
      <c r="R251" s="12" t="s">
        <v>174</v>
      </c>
      <c r="S251" s="14" t="s">
        <v>166</v>
      </c>
      <c r="T251" s="12" t="s">
        <v>174</v>
      </c>
      <c r="U251" s="14" t="s">
        <v>781</v>
      </c>
      <c r="V251" s="14"/>
      <c r="W251" s="14"/>
      <c r="X251" s="12"/>
      <c r="Y251" s="12"/>
      <c r="Z251" s="14"/>
      <c r="AA251" s="12"/>
      <c r="AB251" s="15"/>
      <c r="AC251" s="16">
        <v>1</v>
      </c>
      <c r="AD251" s="16">
        <v>0</v>
      </c>
      <c r="AE251" s="16">
        <v>0</v>
      </c>
      <c r="AF251" s="16">
        <v>0</v>
      </c>
      <c r="AG251" s="16">
        <v>0</v>
      </c>
      <c r="AH251" s="14" t="s">
        <v>166</v>
      </c>
      <c r="AI251" s="54">
        <v>1</v>
      </c>
      <c r="AJ251" s="54">
        <v>0</v>
      </c>
      <c r="AK251" s="54">
        <v>0</v>
      </c>
      <c r="AL251" s="54">
        <v>0</v>
      </c>
      <c r="AM251" s="54">
        <v>0</v>
      </c>
      <c r="AN251" s="14" t="s">
        <v>166</v>
      </c>
    </row>
    <row r="252" spans="1:40" ht="47.25" x14ac:dyDescent="0.25">
      <c r="A252" s="12" t="s">
        <v>1466</v>
      </c>
      <c r="B252" s="12" t="s">
        <v>1467</v>
      </c>
      <c r="C252" s="12" t="s">
        <v>1135</v>
      </c>
      <c r="D252" s="13" t="s">
        <v>960</v>
      </c>
      <c r="E252" s="13" t="s">
        <v>970</v>
      </c>
      <c r="F252" s="13">
        <v>1074</v>
      </c>
      <c r="G252" s="13" t="s">
        <v>41</v>
      </c>
      <c r="H252" s="13" t="s">
        <v>556</v>
      </c>
      <c r="I252" s="12"/>
      <c r="J252" s="13">
        <v>689959167</v>
      </c>
      <c r="K252" s="13"/>
      <c r="L252" s="13" t="s">
        <v>557</v>
      </c>
      <c r="M252" s="14" t="s">
        <v>1073</v>
      </c>
      <c r="N252" s="13" t="s">
        <v>1068</v>
      </c>
      <c r="O252" s="12">
        <v>4</v>
      </c>
      <c r="P252" s="12" t="s">
        <v>174</v>
      </c>
      <c r="Q252" s="12" t="s">
        <v>868</v>
      </c>
      <c r="R252" s="12" t="s">
        <v>174</v>
      </c>
      <c r="S252" s="14" t="s">
        <v>166</v>
      </c>
      <c r="T252" s="12" t="s">
        <v>174</v>
      </c>
      <c r="U252" s="14" t="s">
        <v>780</v>
      </c>
      <c r="V252" s="14"/>
      <c r="W252" s="14"/>
      <c r="X252" s="12"/>
      <c r="Y252" s="12"/>
      <c r="Z252" s="14"/>
      <c r="AA252" s="12"/>
      <c r="AB252" s="15"/>
      <c r="AC252" s="16">
        <v>0</v>
      </c>
      <c r="AD252" s="16">
        <v>0</v>
      </c>
      <c r="AE252" s="16">
        <v>0</v>
      </c>
      <c r="AF252" s="16">
        <v>1</v>
      </c>
      <c r="AG252" s="16">
        <v>0</v>
      </c>
      <c r="AH252" s="14" t="s">
        <v>166</v>
      </c>
      <c r="AI252" s="54">
        <v>0</v>
      </c>
      <c r="AJ252" s="54">
        <v>0</v>
      </c>
      <c r="AK252" s="54">
        <v>0</v>
      </c>
      <c r="AL252" s="54">
        <v>1</v>
      </c>
      <c r="AM252" s="54">
        <v>0</v>
      </c>
      <c r="AN252" s="14" t="s">
        <v>166</v>
      </c>
    </row>
    <row r="253" spans="1:40" ht="47.25" x14ac:dyDescent="0.25">
      <c r="A253" s="12" t="s">
        <v>1466</v>
      </c>
      <c r="B253" s="12" t="s">
        <v>1467</v>
      </c>
      <c r="C253" s="12" t="s">
        <v>1135</v>
      </c>
      <c r="D253" s="13" t="s">
        <v>960</v>
      </c>
      <c r="E253" s="13" t="s">
        <v>970</v>
      </c>
      <c r="F253" s="13">
        <v>3199</v>
      </c>
      <c r="G253" s="13" t="s">
        <v>41</v>
      </c>
      <c r="H253" s="13" t="s">
        <v>558</v>
      </c>
      <c r="I253" s="12"/>
      <c r="J253" s="13">
        <v>681104856</v>
      </c>
      <c r="K253" s="13"/>
      <c r="L253" s="13" t="s">
        <v>559</v>
      </c>
      <c r="M253" s="14" t="s">
        <v>1073</v>
      </c>
      <c r="N253" s="13" t="s">
        <v>1068</v>
      </c>
      <c r="O253" s="12">
        <v>4</v>
      </c>
      <c r="P253" s="12" t="s">
        <v>174</v>
      </c>
      <c r="Q253" s="12" t="s">
        <v>868</v>
      </c>
      <c r="R253" s="12" t="s">
        <v>174</v>
      </c>
      <c r="S253" s="14" t="s">
        <v>166</v>
      </c>
      <c r="T253" s="12" t="s">
        <v>1110</v>
      </c>
      <c r="U253" s="14" t="s">
        <v>780</v>
      </c>
      <c r="V253" s="14"/>
      <c r="W253" s="14"/>
      <c r="X253" s="12"/>
      <c r="Y253" s="12"/>
      <c r="Z253" s="14"/>
      <c r="AA253" s="12"/>
      <c r="AB253" s="15"/>
      <c r="AC253" s="16">
        <v>0</v>
      </c>
      <c r="AD253" s="16">
        <v>0</v>
      </c>
      <c r="AE253" s="16">
        <v>0</v>
      </c>
      <c r="AF253" s="16">
        <v>1</v>
      </c>
      <c r="AG253" s="16">
        <v>0</v>
      </c>
      <c r="AH253" s="14" t="s">
        <v>166</v>
      </c>
      <c r="AI253" s="54">
        <v>0</v>
      </c>
      <c r="AJ253" s="54">
        <v>0</v>
      </c>
      <c r="AK253" s="54">
        <v>0</v>
      </c>
      <c r="AL253" s="54">
        <v>1</v>
      </c>
      <c r="AM253" s="54">
        <v>0</v>
      </c>
      <c r="AN253" s="14" t="s">
        <v>166</v>
      </c>
    </row>
    <row r="254" spans="1:40" ht="47.25" x14ac:dyDescent="0.25">
      <c r="A254" s="12" t="s">
        <v>1468</v>
      </c>
      <c r="B254" s="12" t="s">
        <v>1469</v>
      </c>
      <c r="C254" s="12" t="s">
        <v>1135</v>
      </c>
      <c r="D254" s="13" t="s">
        <v>847</v>
      </c>
      <c r="E254" s="13" t="s">
        <v>109</v>
      </c>
      <c r="F254" s="13">
        <v>2456</v>
      </c>
      <c r="G254" s="13" t="s">
        <v>45</v>
      </c>
      <c r="H254" s="13" t="s">
        <v>544</v>
      </c>
      <c r="I254" s="12"/>
      <c r="J254" s="13">
        <v>682241745</v>
      </c>
      <c r="K254" s="13"/>
      <c r="L254" s="13" t="s">
        <v>545</v>
      </c>
      <c r="M254" s="14" t="s">
        <v>153</v>
      </c>
      <c r="N254" s="13" t="s">
        <v>152</v>
      </c>
      <c r="O254" s="12">
        <v>2</v>
      </c>
      <c r="P254" s="12" t="s">
        <v>1045</v>
      </c>
      <c r="Q254" s="12" t="s">
        <v>868</v>
      </c>
      <c r="R254" s="12" t="s">
        <v>174</v>
      </c>
      <c r="S254" s="14" t="s">
        <v>166</v>
      </c>
      <c r="T254" s="12" t="s">
        <v>1110</v>
      </c>
      <c r="U254" s="14" t="s">
        <v>782</v>
      </c>
      <c r="V254" s="14"/>
      <c r="W254" s="14"/>
      <c r="X254" s="12"/>
      <c r="Y254" s="12"/>
      <c r="Z254" s="14"/>
      <c r="AA254" s="12"/>
      <c r="AB254" s="15"/>
      <c r="AC254" s="16">
        <v>0</v>
      </c>
      <c r="AD254" s="16">
        <v>0</v>
      </c>
      <c r="AE254" s="16">
        <v>1</v>
      </c>
      <c r="AF254" s="16">
        <v>0</v>
      </c>
      <c r="AG254" s="16">
        <v>0</v>
      </c>
      <c r="AH254" s="14" t="s">
        <v>166</v>
      </c>
      <c r="AI254" s="54">
        <v>0</v>
      </c>
      <c r="AJ254" s="54">
        <v>0</v>
      </c>
      <c r="AK254" s="54">
        <v>1</v>
      </c>
      <c r="AL254" s="54">
        <v>0</v>
      </c>
      <c r="AM254" s="54">
        <v>0</v>
      </c>
      <c r="AN254" s="14" t="s">
        <v>166</v>
      </c>
    </row>
    <row r="255" spans="1:40" ht="47.25" x14ac:dyDescent="0.25">
      <c r="A255" s="12" t="s">
        <v>1470</v>
      </c>
      <c r="B255" s="12" t="s">
        <v>1471</v>
      </c>
      <c r="C255" s="12" t="s">
        <v>1135</v>
      </c>
      <c r="D255" s="13" t="s">
        <v>959</v>
      </c>
      <c r="E255" s="13" t="s">
        <v>104</v>
      </c>
      <c r="F255" s="13">
        <v>1046</v>
      </c>
      <c r="G255" s="13" t="s">
        <v>45</v>
      </c>
      <c r="H255" s="13" t="s">
        <v>458</v>
      </c>
      <c r="I255" s="12"/>
      <c r="J255" s="13">
        <v>649279236</v>
      </c>
      <c r="K255" s="13"/>
      <c r="L255" s="13" t="s">
        <v>459</v>
      </c>
      <c r="M255" s="14" t="s">
        <v>1073</v>
      </c>
      <c r="N255" s="13" t="s">
        <v>1068</v>
      </c>
      <c r="O255" s="12">
        <v>4</v>
      </c>
      <c r="P255" s="12" t="s">
        <v>174</v>
      </c>
      <c r="Q255" s="12" t="s">
        <v>868</v>
      </c>
      <c r="R255" s="12" t="s">
        <v>174</v>
      </c>
      <c r="S255" s="14" t="s">
        <v>166</v>
      </c>
      <c r="T255" s="12" t="s">
        <v>174</v>
      </c>
      <c r="U255" s="14" t="s">
        <v>780</v>
      </c>
      <c r="V255" s="14"/>
      <c r="W255" s="14"/>
      <c r="X255" s="12"/>
      <c r="Y255" s="12"/>
      <c r="Z255" s="14"/>
      <c r="AA255" s="12"/>
      <c r="AB255" s="15"/>
      <c r="AC255" s="16">
        <v>0</v>
      </c>
      <c r="AD255" s="16">
        <v>1</v>
      </c>
      <c r="AE255" s="16">
        <v>0</v>
      </c>
      <c r="AF255" s="16">
        <v>0</v>
      </c>
      <c r="AG255" s="16">
        <v>0</v>
      </c>
      <c r="AH255" s="14" t="s">
        <v>166</v>
      </c>
      <c r="AI255" s="54">
        <v>0</v>
      </c>
      <c r="AJ255" s="54">
        <v>1</v>
      </c>
      <c r="AK255" s="54">
        <v>0</v>
      </c>
      <c r="AL255" s="54">
        <v>0</v>
      </c>
      <c r="AM255" s="54">
        <v>0</v>
      </c>
      <c r="AN255" s="14" t="s">
        <v>166</v>
      </c>
    </row>
    <row r="256" spans="1:40" ht="47.25" x14ac:dyDescent="0.25">
      <c r="A256" s="12" t="s">
        <v>1470</v>
      </c>
      <c r="B256" s="12" t="s">
        <v>1471</v>
      </c>
      <c r="C256" s="12" t="s">
        <v>1135</v>
      </c>
      <c r="D256" s="13" t="s">
        <v>959</v>
      </c>
      <c r="E256" s="13" t="s">
        <v>104</v>
      </c>
      <c r="F256" s="13">
        <v>6013</v>
      </c>
      <c r="G256" s="13" t="s">
        <v>45</v>
      </c>
      <c r="H256" s="13" t="s">
        <v>925</v>
      </c>
      <c r="I256" s="12"/>
      <c r="J256" s="13">
        <v>660463104</v>
      </c>
      <c r="K256" s="13"/>
      <c r="L256" s="13" t="s">
        <v>1023</v>
      </c>
      <c r="M256" s="14" t="s">
        <v>1073</v>
      </c>
      <c r="N256" s="13" t="s">
        <v>1068</v>
      </c>
      <c r="O256" s="12">
        <v>4</v>
      </c>
      <c r="P256" s="12" t="s">
        <v>174</v>
      </c>
      <c r="Q256" s="12" t="s">
        <v>868</v>
      </c>
      <c r="R256" s="12" t="s">
        <v>174</v>
      </c>
      <c r="S256" s="14" t="s">
        <v>166</v>
      </c>
      <c r="T256" s="12" t="s">
        <v>1110</v>
      </c>
      <c r="U256" s="14" t="s">
        <v>780</v>
      </c>
      <c r="V256" s="14"/>
      <c r="W256" s="14"/>
      <c r="X256" s="12"/>
      <c r="Y256" s="12"/>
      <c r="Z256" s="14"/>
      <c r="AA256" s="12"/>
      <c r="AB256" s="15"/>
      <c r="AC256" s="16">
        <v>0</v>
      </c>
      <c r="AD256" s="16">
        <v>0</v>
      </c>
      <c r="AE256" s="16">
        <v>0</v>
      </c>
      <c r="AF256" s="16">
        <v>0</v>
      </c>
      <c r="AG256" s="16">
        <v>1</v>
      </c>
      <c r="AH256" s="14" t="s">
        <v>166</v>
      </c>
      <c r="AI256" s="54">
        <v>0</v>
      </c>
      <c r="AJ256" s="54">
        <v>1</v>
      </c>
      <c r="AK256" s="54">
        <v>0</v>
      </c>
      <c r="AL256" s="54">
        <v>0</v>
      </c>
      <c r="AM256" s="54">
        <v>0</v>
      </c>
      <c r="AN256" s="14" t="s">
        <v>166</v>
      </c>
    </row>
    <row r="257" spans="1:40" ht="47.25" x14ac:dyDescent="0.25">
      <c r="A257" s="12" t="s">
        <v>1472</v>
      </c>
      <c r="B257" s="12" t="s">
        <v>1473</v>
      </c>
      <c r="C257" s="12" t="s">
        <v>1135</v>
      </c>
      <c r="D257" s="13" t="s">
        <v>1086</v>
      </c>
      <c r="E257" s="13" t="s">
        <v>1087</v>
      </c>
      <c r="F257" s="13">
        <v>4744</v>
      </c>
      <c r="G257" s="13" t="s">
        <v>45</v>
      </c>
      <c r="H257" s="13" t="s">
        <v>773</v>
      </c>
      <c r="I257" s="12"/>
      <c r="J257" s="13">
        <v>686396957</v>
      </c>
      <c r="K257" s="13"/>
      <c r="L257" s="13" t="s">
        <v>774</v>
      </c>
      <c r="M257" s="14" t="s">
        <v>1073</v>
      </c>
      <c r="N257" s="13" t="s">
        <v>1068</v>
      </c>
      <c r="O257" s="12">
        <v>3</v>
      </c>
      <c r="P257" s="12" t="s">
        <v>174</v>
      </c>
      <c r="Q257" s="12" t="s">
        <v>868</v>
      </c>
      <c r="R257" s="12" t="s">
        <v>174</v>
      </c>
      <c r="S257" s="14" t="s">
        <v>166</v>
      </c>
      <c r="T257" s="12" t="s">
        <v>1110</v>
      </c>
      <c r="U257" s="14" t="s">
        <v>780</v>
      </c>
      <c r="V257" s="14"/>
      <c r="W257" s="14"/>
      <c r="X257" s="12"/>
      <c r="Y257" s="12"/>
      <c r="Z257" s="14"/>
      <c r="AA257" s="12"/>
      <c r="AB257" s="15"/>
      <c r="AC257" s="16">
        <v>0</v>
      </c>
      <c r="AD257" s="16">
        <v>0</v>
      </c>
      <c r="AE257" s="16">
        <v>0</v>
      </c>
      <c r="AF257" s="16">
        <v>1</v>
      </c>
      <c r="AG257" s="16">
        <v>0</v>
      </c>
      <c r="AH257" s="14" t="s">
        <v>166</v>
      </c>
      <c r="AI257" s="54">
        <v>0</v>
      </c>
      <c r="AJ257" s="54">
        <v>0</v>
      </c>
      <c r="AK257" s="54">
        <v>0</v>
      </c>
      <c r="AL257" s="54">
        <v>1</v>
      </c>
      <c r="AM257" s="54">
        <v>0</v>
      </c>
      <c r="AN257" s="14" t="s">
        <v>166</v>
      </c>
    </row>
    <row r="258" spans="1:40" ht="47.25" x14ac:dyDescent="0.25">
      <c r="A258" s="12" t="s">
        <v>1474</v>
      </c>
      <c r="B258" s="12" t="s">
        <v>1475</v>
      </c>
      <c r="C258" s="12" t="s">
        <v>1135</v>
      </c>
      <c r="D258" s="13" t="s">
        <v>959</v>
      </c>
      <c r="E258" s="13" t="s">
        <v>104</v>
      </c>
      <c r="F258" s="13">
        <v>413</v>
      </c>
      <c r="G258" s="13" t="s">
        <v>35</v>
      </c>
      <c r="H258" s="13" t="s">
        <v>456</v>
      </c>
      <c r="I258" s="12"/>
      <c r="J258" s="13">
        <v>618987089</v>
      </c>
      <c r="K258" s="13"/>
      <c r="L258" s="13" t="s">
        <v>457</v>
      </c>
      <c r="M258" s="14" t="s">
        <v>1074</v>
      </c>
      <c r="N258" s="13" t="s">
        <v>1069</v>
      </c>
      <c r="O258" s="12">
        <v>6</v>
      </c>
      <c r="P258" s="12" t="s">
        <v>174</v>
      </c>
      <c r="Q258" s="12" t="s">
        <v>868</v>
      </c>
      <c r="R258" s="12" t="s">
        <v>174</v>
      </c>
      <c r="S258" s="14" t="s">
        <v>166</v>
      </c>
      <c r="T258" s="12" t="s">
        <v>1110</v>
      </c>
      <c r="U258" s="14" t="s">
        <v>781</v>
      </c>
      <c r="V258" s="14"/>
      <c r="W258" s="14"/>
      <c r="X258" s="12"/>
      <c r="Y258" s="12"/>
      <c r="Z258" s="14"/>
      <c r="AA258" s="12"/>
      <c r="AB258" s="15"/>
      <c r="AC258" s="16">
        <v>0</v>
      </c>
      <c r="AD258" s="16">
        <v>1</v>
      </c>
      <c r="AE258" s="16">
        <v>0</v>
      </c>
      <c r="AF258" s="16">
        <v>0</v>
      </c>
      <c r="AG258" s="16">
        <v>0</v>
      </c>
      <c r="AH258" s="14" t="s">
        <v>166</v>
      </c>
      <c r="AI258" s="54">
        <v>0</v>
      </c>
      <c r="AJ258" s="54">
        <v>1</v>
      </c>
      <c r="AK258" s="54">
        <v>1</v>
      </c>
      <c r="AL258" s="54">
        <v>1</v>
      </c>
      <c r="AM258" s="54">
        <v>0</v>
      </c>
      <c r="AN258" s="14" t="s">
        <v>166</v>
      </c>
    </row>
    <row r="259" spans="1:40" ht="173.25" x14ac:dyDescent="0.25">
      <c r="A259" s="12" t="s">
        <v>1476</v>
      </c>
      <c r="B259" s="12" t="s">
        <v>1477</v>
      </c>
      <c r="C259" s="12" t="s">
        <v>1135</v>
      </c>
      <c r="D259" s="13" t="s">
        <v>961</v>
      </c>
      <c r="E259" s="13" t="s">
        <v>103</v>
      </c>
      <c r="F259" s="13">
        <v>4803</v>
      </c>
      <c r="G259" s="13" t="s">
        <v>35</v>
      </c>
      <c r="H259" s="13" t="s">
        <v>503</v>
      </c>
      <c r="I259" s="12"/>
      <c r="J259" s="13">
        <v>689102432</v>
      </c>
      <c r="K259" s="13"/>
      <c r="L259" s="13" t="s">
        <v>924</v>
      </c>
      <c r="M259" s="14" t="s">
        <v>1073</v>
      </c>
      <c r="N259" s="13" t="s">
        <v>1068</v>
      </c>
      <c r="O259" s="12">
        <v>4</v>
      </c>
      <c r="P259" s="12" t="s">
        <v>174</v>
      </c>
      <c r="Q259" s="12" t="s">
        <v>868</v>
      </c>
      <c r="R259" s="12" t="s">
        <v>174</v>
      </c>
      <c r="S259" s="14" t="s">
        <v>166</v>
      </c>
      <c r="T259" s="12" t="s">
        <v>174</v>
      </c>
      <c r="U259" s="14" t="s">
        <v>780</v>
      </c>
      <c r="V259" s="14"/>
      <c r="W259" s="14"/>
      <c r="X259" s="12"/>
      <c r="Y259" s="12"/>
      <c r="Z259" s="14"/>
      <c r="AA259" s="12"/>
      <c r="AB259" s="15"/>
      <c r="AC259" s="16">
        <v>0</v>
      </c>
      <c r="AD259" s="16">
        <v>0</v>
      </c>
      <c r="AE259" s="16">
        <v>0</v>
      </c>
      <c r="AF259" s="16">
        <v>0</v>
      </c>
      <c r="AG259" s="16">
        <v>1</v>
      </c>
      <c r="AH259" s="14" t="s">
        <v>166</v>
      </c>
      <c r="AI259" s="54">
        <v>0</v>
      </c>
      <c r="AJ259" s="54">
        <v>0</v>
      </c>
      <c r="AK259" s="54">
        <v>0</v>
      </c>
      <c r="AL259" s="54">
        <v>0</v>
      </c>
      <c r="AM259" s="54">
        <v>1</v>
      </c>
      <c r="AN259" s="14" t="s">
        <v>166</v>
      </c>
    </row>
    <row r="260" spans="1:40" ht="94.5" x14ac:dyDescent="0.25">
      <c r="A260" s="12" t="s">
        <v>1478</v>
      </c>
      <c r="B260" s="12" t="s">
        <v>1479</v>
      </c>
      <c r="C260" s="12" t="s">
        <v>1135</v>
      </c>
      <c r="D260" s="13" t="s">
        <v>962</v>
      </c>
      <c r="E260" s="13" t="s">
        <v>102</v>
      </c>
      <c r="F260" s="13">
        <v>3981</v>
      </c>
      <c r="G260" s="13" t="s">
        <v>35</v>
      </c>
      <c r="H260" s="13" t="s">
        <v>464</v>
      </c>
      <c r="I260" s="12"/>
      <c r="J260" s="13">
        <v>682639993</v>
      </c>
      <c r="K260" s="13"/>
      <c r="L260" s="13" t="s">
        <v>930</v>
      </c>
      <c r="M260" s="14" t="s">
        <v>1074</v>
      </c>
      <c r="N260" s="13" t="s">
        <v>1069</v>
      </c>
      <c r="O260" s="12">
        <v>6</v>
      </c>
      <c r="P260" s="12" t="s">
        <v>1045</v>
      </c>
      <c r="Q260" s="12" t="s">
        <v>174</v>
      </c>
      <c r="R260" s="12" t="s">
        <v>174</v>
      </c>
      <c r="S260" s="14" t="s">
        <v>166</v>
      </c>
      <c r="T260" s="12" t="s">
        <v>174</v>
      </c>
      <c r="U260" s="14" t="s">
        <v>781</v>
      </c>
      <c r="V260" s="14"/>
      <c r="W260" s="14"/>
      <c r="X260" s="12"/>
      <c r="Y260" s="12"/>
      <c r="Z260" s="14"/>
      <c r="AA260" s="12"/>
      <c r="AB260" s="15"/>
      <c r="AC260" s="16">
        <v>0</v>
      </c>
      <c r="AD260" s="16">
        <v>0</v>
      </c>
      <c r="AE260" s="16">
        <v>0</v>
      </c>
      <c r="AF260" s="16">
        <v>0</v>
      </c>
      <c r="AG260" s="16">
        <v>0</v>
      </c>
      <c r="AH260" s="14" t="s">
        <v>174</v>
      </c>
      <c r="AI260" s="54">
        <v>0</v>
      </c>
      <c r="AJ260" s="54">
        <v>0</v>
      </c>
      <c r="AK260" s="54">
        <v>0</v>
      </c>
      <c r="AL260" s="54">
        <v>0</v>
      </c>
      <c r="AM260" s="54">
        <v>0</v>
      </c>
      <c r="AN260" s="14" t="s">
        <v>174</v>
      </c>
    </row>
    <row r="261" spans="1:40" ht="47.25" x14ac:dyDescent="0.25">
      <c r="A261" s="12" t="s">
        <v>1480</v>
      </c>
      <c r="B261" s="12" t="s">
        <v>1481</v>
      </c>
      <c r="C261" s="12" t="s">
        <v>1135</v>
      </c>
      <c r="D261" s="13" t="s">
        <v>960</v>
      </c>
      <c r="E261" s="13" t="s">
        <v>970</v>
      </c>
      <c r="F261" s="13">
        <v>2442</v>
      </c>
      <c r="G261" s="13" t="s">
        <v>35</v>
      </c>
      <c r="H261" s="13" t="s">
        <v>546</v>
      </c>
      <c r="I261" s="12"/>
      <c r="J261" s="13">
        <v>636798786</v>
      </c>
      <c r="K261" s="13"/>
      <c r="L261" s="13" t="s">
        <v>547</v>
      </c>
      <c r="M261" s="14" t="s">
        <v>1074</v>
      </c>
      <c r="N261" s="13" t="s">
        <v>1069</v>
      </c>
      <c r="O261" s="12">
        <v>4</v>
      </c>
      <c r="P261" s="12" t="s">
        <v>174</v>
      </c>
      <c r="Q261" s="12" t="s">
        <v>868</v>
      </c>
      <c r="R261" s="12" t="s">
        <v>174</v>
      </c>
      <c r="S261" s="14" t="s">
        <v>166</v>
      </c>
      <c r="T261" s="12" t="s">
        <v>1110</v>
      </c>
      <c r="U261" s="14" t="s">
        <v>781</v>
      </c>
      <c r="V261" s="14"/>
      <c r="W261" s="14"/>
      <c r="X261" s="12"/>
      <c r="Y261" s="12"/>
      <c r="Z261" s="14"/>
      <c r="AA261" s="12"/>
      <c r="AB261" s="15"/>
      <c r="AC261" s="16">
        <v>0</v>
      </c>
      <c r="AD261" s="16">
        <v>0</v>
      </c>
      <c r="AE261" s="16">
        <v>0</v>
      </c>
      <c r="AF261" s="16">
        <v>0</v>
      </c>
      <c r="AG261" s="16">
        <v>1</v>
      </c>
      <c r="AH261" s="14" t="s">
        <v>166</v>
      </c>
      <c r="AI261" s="54">
        <v>0</v>
      </c>
      <c r="AJ261" s="54">
        <v>0</v>
      </c>
      <c r="AK261" s="54">
        <v>0</v>
      </c>
      <c r="AL261" s="54">
        <v>1</v>
      </c>
      <c r="AM261" s="54">
        <v>1</v>
      </c>
      <c r="AN261" s="14" t="s">
        <v>166</v>
      </c>
    </row>
    <row r="262" spans="1:40" ht="47.25" x14ac:dyDescent="0.25">
      <c r="A262" s="12" t="s">
        <v>1482</v>
      </c>
      <c r="B262" s="12" t="s">
        <v>1483</v>
      </c>
      <c r="C262" s="12" t="s">
        <v>1135</v>
      </c>
      <c r="D262" s="13" t="s">
        <v>1086</v>
      </c>
      <c r="E262" s="13" t="s">
        <v>1087</v>
      </c>
      <c r="F262" s="13">
        <v>1176</v>
      </c>
      <c r="G262" s="13" t="s">
        <v>35</v>
      </c>
      <c r="H262" s="13" t="s">
        <v>765</v>
      </c>
      <c r="I262" s="12"/>
      <c r="J262" s="13">
        <v>680402262</v>
      </c>
      <c r="K262" s="13"/>
      <c r="L262" s="13" t="s">
        <v>766</v>
      </c>
      <c r="M262" s="14" t="s">
        <v>1073</v>
      </c>
      <c r="N262" s="13" t="s">
        <v>1068</v>
      </c>
      <c r="O262" s="12">
        <v>3</v>
      </c>
      <c r="P262" s="12" t="s">
        <v>174</v>
      </c>
      <c r="Q262" s="12" t="s">
        <v>868</v>
      </c>
      <c r="R262" s="12" t="s">
        <v>174</v>
      </c>
      <c r="S262" s="14" t="s">
        <v>166</v>
      </c>
      <c r="T262" s="12" t="s">
        <v>1110</v>
      </c>
      <c r="U262" s="14" t="s">
        <v>780</v>
      </c>
      <c r="V262" s="14"/>
      <c r="W262" s="14"/>
      <c r="X262" s="12"/>
      <c r="Y262" s="12"/>
      <c r="Z262" s="14"/>
      <c r="AA262" s="12"/>
      <c r="AB262" s="15"/>
      <c r="AC262" s="16">
        <v>0</v>
      </c>
      <c r="AD262" s="16">
        <v>0</v>
      </c>
      <c r="AE262" s="16">
        <v>0</v>
      </c>
      <c r="AF262" s="16">
        <v>1</v>
      </c>
      <c r="AG262" s="16">
        <v>0</v>
      </c>
      <c r="AH262" s="14" t="s">
        <v>166</v>
      </c>
      <c r="AI262" s="54">
        <v>0</v>
      </c>
      <c r="AJ262" s="54">
        <v>0</v>
      </c>
      <c r="AK262" s="54">
        <v>0</v>
      </c>
      <c r="AL262" s="54">
        <v>1</v>
      </c>
      <c r="AM262" s="54">
        <v>0</v>
      </c>
      <c r="AN262" s="14" t="s">
        <v>166</v>
      </c>
    </row>
    <row r="263" spans="1:40" ht="173.25" x14ac:dyDescent="0.25">
      <c r="A263" s="12" t="s">
        <v>1484</v>
      </c>
      <c r="B263" s="12" t="s">
        <v>1485</v>
      </c>
      <c r="C263" s="12" t="s">
        <v>1135</v>
      </c>
      <c r="D263" s="13" t="s">
        <v>961</v>
      </c>
      <c r="E263" s="13" t="s">
        <v>103</v>
      </c>
      <c r="F263" s="13">
        <v>3661</v>
      </c>
      <c r="G263" s="13" t="s">
        <v>59</v>
      </c>
      <c r="H263" s="13" t="s">
        <v>922</v>
      </c>
      <c r="I263" s="12"/>
      <c r="J263" s="13">
        <v>683319446</v>
      </c>
      <c r="K263" s="13"/>
      <c r="L263" s="13" t="s">
        <v>923</v>
      </c>
      <c r="M263" s="14" t="s">
        <v>1074</v>
      </c>
      <c r="N263" s="13" t="s">
        <v>1069</v>
      </c>
      <c r="O263" s="12">
        <v>6</v>
      </c>
      <c r="P263" s="12" t="s">
        <v>1045</v>
      </c>
      <c r="Q263" s="12" t="s">
        <v>174</v>
      </c>
      <c r="R263" s="12" t="s">
        <v>174</v>
      </c>
      <c r="S263" s="14" t="s">
        <v>166</v>
      </c>
      <c r="T263" s="12" t="s">
        <v>174</v>
      </c>
      <c r="U263" s="14" t="s">
        <v>781</v>
      </c>
      <c r="V263" s="14"/>
      <c r="W263" s="14"/>
      <c r="X263" s="12"/>
      <c r="Y263" s="12"/>
      <c r="Z263" s="14"/>
      <c r="AA263" s="12"/>
      <c r="AB263" s="15"/>
      <c r="AC263" s="16">
        <v>0</v>
      </c>
      <c r="AD263" s="16">
        <v>0</v>
      </c>
      <c r="AE263" s="16">
        <v>0</v>
      </c>
      <c r="AF263" s="16">
        <v>0</v>
      </c>
      <c r="AG263" s="16">
        <v>1</v>
      </c>
      <c r="AH263" s="14" t="s">
        <v>166</v>
      </c>
      <c r="AI263" s="54">
        <v>0</v>
      </c>
      <c r="AJ263" s="54">
        <v>0</v>
      </c>
      <c r="AK263" s="54">
        <v>0</v>
      </c>
      <c r="AL263" s="54">
        <v>0</v>
      </c>
      <c r="AM263" s="54">
        <v>1</v>
      </c>
      <c r="AN263" s="14" t="s">
        <v>166</v>
      </c>
    </row>
    <row r="264" spans="1:40" ht="94.5" x14ac:dyDescent="0.25">
      <c r="A264" s="12" t="s">
        <v>1486</v>
      </c>
      <c r="B264" s="12" t="s">
        <v>1487</v>
      </c>
      <c r="C264" s="12" t="s">
        <v>1135</v>
      </c>
      <c r="D264" s="13" t="s">
        <v>962</v>
      </c>
      <c r="E264" s="13" t="s">
        <v>102</v>
      </c>
      <c r="F264" s="13">
        <v>622</v>
      </c>
      <c r="G264" s="13" t="s">
        <v>59</v>
      </c>
      <c r="H264" s="13" t="s">
        <v>831</v>
      </c>
      <c r="I264" s="12"/>
      <c r="J264" s="13">
        <v>683390751</v>
      </c>
      <c r="K264" s="13"/>
      <c r="L264" s="13" t="s">
        <v>926</v>
      </c>
      <c r="M264" s="14" t="s">
        <v>1074</v>
      </c>
      <c r="N264" s="13" t="s">
        <v>1069</v>
      </c>
      <c r="O264" s="12">
        <v>6</v>
      </c>
      <c r="P264" s="12" t="s">
        <v>1045</v>
      </c>
      <c r="Q264" s="12" t="s">
        <v>174</v>
      </c>
      <c r="R264" s="12" t="s">
        <v>174</v>
      </c>
      <c r="S264" s="14" t="s">
        <v>166</v>
      </c>
      <c r="T264" s="12" t="s">
        <v>174</v>
      </c>
      <c r="U264" s="14" t="s">
        <v>781</v>
      </c>
      <c r="V264" s="14"/>
      <c r="W264" s="14"/>
      <c r="X264" s="12"/>
      <c r="Y264" s="12"/>
      <c r="Z264" s="14"/>
      <c r="AA264" s="12"/>
      <c r="AB264" s="15"/>
      <c r="AC264" s="16">
        <v>0</v>
      </c>
      <c r="AD264" s="16">
        <v>0</v>
      </c>
      <c r="AE264" s="16">
        <v>0</v>
      </c>
      <c r="AF264" s="16">
        <v>0</v>
      </c>
      <c r="AG264" s="16">
        <v>1</v>
      </c>
      <c r="AH264" s="14" t="s">
        <v>166</v>
      </c>
      <c r="AI264" s="54">
        <v>0</v>
      </c>
      <c r="AJ264" s="54">
        <v>0</v>
      </c>
      <c r="AK264" s="54">
        <v>0</v>
      </c>
      <c r="AL264" s="54">
        <v>0</v>
      </c>
      <c r="AM264" s="54">
        <v>1</v>
      </c>
      <c r="AN264" s="14" t="s">
        <v>166</v>
      </c>
    </row>
    <row r="265" spans="1:40" ht="47.25" x14ac:dyDescent="0.25">
      <c r="A265" s="12" t="s">
        <v>1488</v>
      </c>
      <c r="B265" s="12" t="s">
        <v>1489</v>
      </c>
      <c r="C265" s="12" t="s">
        <v>1135</v>
      </c>
      <c r="D265" s="13" t="s">
        <v>960</v>
      </c>
      <c r="E265" s="13" t="s">
        <v>970</v>
      </c>
      <c r="F265" s="13">
        <v>1110</v>
      </c>
      <c r="G265" s="13" t="s">
        <v>59</v>
      </c>
      <c r="H265" s="13" t="s">
        <v>552</v>
      </c>
      <c r="I265" s="12"/>
      <c r="J265" s="13">
        <v>618733017</v>
      </c>
      <c r="K265" s="13"/>
      <c r="L265" s="13" t="s">
        <v>553</v>
      </c>
      <c r="M265" s="14" t="s">
        <v>1074</v>
      </c>
      <c r="N265" s="13" t="s">
        <v>1069</v>
      </c>
      <c r="O265" s="12">
        <v>4</v>
      </c>
      <c r="P265" s="12" t="s">
        <v>174</v>
      </c>
      <c r="Q265" s="12" t="s">
        <v>868</v>
      </c>
      <c r="R265" s="12" t="s">
        <v>174</v>
      </c>
      <c r="S265" s="14" t="s">
        <v>166</v>
      </c>
      <c r="T265" s="12" t="s">
        <v>1110</v>
      </c>
      <c r="U265" s="14" t="s">
        <v>781</v>
      </c>
      <c r="V265" s="14"/>
      <c r="W265" s="14"/>
      <c r="X265" s="12"/>
      <c r="Y265" s="12"/>
      <c r="Z265" s="14"/>
      <c r="AA265" s="12"/>
      <c r="AB265" s="15"/>
      <c r="AC265" s="16">
        <v>0</v>
      </c>
      <c r="AD265" s="16">
        <v>0</v>
      </c>
      <c r="AE265" s="16">
        <v>0</v>
      </c>
      <c r="AF265" s="16">
        <v>0</v>
      </c>
      <c r="AG265" s="16">
        <v>1</v>
      </c>
      <c r="AH265" s="14" t="s">
        <v>166</v>
      </c>
      <c r="AI265" s="54">
        <v>0</v>
      </c>
      <c r="AJ265" s="54">
        <v>0</v>
      </c>
      <c r="AK265" s="54">
        <v>0</v>
      </c>
      <c r="AL265" s="54">
        <v>1</v>
      </c>
      <c r="AM265" s="54">
        <v>1</v>
      </c>
      <c r="AN265" s="14" t="s">
        <v>166</v>
      </c>
    </row>
    <row r="266" spans="1:40" ht="94.5" x14ac:dyDescent="0.25">
      <c r="A266" s="12" t="s">
        <v>1490</v>
      </c>
      <c r="B266" s="12" t="s">
        <v>1491</v>
      </c>
      <c r="C266" s="12" t="s">
        <v>1135</v>
      </c>
      <c r="D266" s="13" t="s">
        <v>962</v>
      </c>
      <c r="E266" s="13" t="s">
        <v>102</v>
      </c>
      <c r="F266" s="13">
        <v>5326</v>
      </c>
      <c r="G266" s="13" t="s">
        <v>88</v>
      </c>
      <c r="H266" s="13" t="s">
        <v>927</v>
      </c>
      <c r="I266" s="12"/>
      <c r="J266" s="13">
        <v>682836536</v>
      </c>
      <c r="K266" s="13"/>
      <c r="L266" s="13" t="s">
        <v>928</v>
      </c>
      <c r="M266" s="14" t="s">
        <v>1074</v>
      </c>
      <c r="N266" s="13" t="s">
        <v>1069</v>
      </c>
      <c r="O266" s="12">
        <v>6</v>
      </c>
      <c r="P266" s="12" t="s">
        <v>1045</v>
      </c>
      <c r="Q266" s="12" t="s">
        <v>174</v>
      </c>
      <c r="R266" s="12" t="s">
        <v>174</v>
      </c>
      <c r="S266" s="14" t="s">
        <v>166</v>
      </c>
      <c r="T266" s="12" t="s">
        <v>174</v>
      </c>
      <c r="U266" s="14" t="s">
        <v>781</v>
      </c>
      <c r="V266" s="14"/>
      <c r="W266" s="14"/>
      <c r="X266" s="12"/>
      <c r="Y266" s="12"/>
      <c r="Z266" s="14"/>
      <c r="AA266" s="12"/>
      <c r="AB266" s="15"/>
      <c r="AC266" s="16">
        <v>0</v>
      </c>
      <c r="AD266" s="16">
        <v>0</v>
      </c>
      <c r="AE266" s="16">
        <v>0</v>
      </c>
      <c r="AF266" s="16">
        <v>0</v>
      </c>
      <c r="AG266" s="16">
        <v>1</v>
      </c>
      <c r="AH266" s="14" t="s">
        <v>166</v>
      </c>
      <c r="AI266" s="54">
        <v>0</v>
      </c>
      <c r="AJ266" s="54">
        <v>0</v>
      </c>
      <c r="AK266" s="54">
        <v>0</v>
      </c>
      <c r="AL266" s="54">
        <v>0</v>
      </c>
      <c r="AM266" s="54">
        <v>1</v>
      </c>
      <c r="AN266" s="14" t="s">
        <v>166</v>
      </c>
    </row>
    <row r="267" spans="1:40" ht="47.25" x14ac:dyDescent="0.25">
      <c r="A267" s="12" t="s">
        <v>1492</v>
      </c>
      <c r="B267" s="12" t="s">
        <v>1493</v>
      </c>
      <c r="C267" s="12" t="s">
        <v>1135</v>
      </c>
      <c r="D267" s="13" t="s">
        <v>1086</v>
      </c>
      <c r="E267" s="13" t="s">
        <v>995</v>
      </c>
      <c r="F267" s="13" t="s">
        <v>47</v>
      </c>
      <c r="G267" s="13" t="s">
        <v>48</v>
      </c>
      <c r="H267" s="13" t="s">
        <v>118</v>
      </c>
      <c r="I267" s="12"/>
      <c r="J267" s="13">
        <v>637034027</v>
      </c>
      <c r="K267" s="13"/>
      <c r="L267" s="13" t="s">
        <v>119</v>
      </c>
      <c r="M267" s="14"/>
      <c r="N267" s="13"/>
      <c r="O267" s="12"/>
      <c r="P267" s="12" t="s">
        <v>1184</v>
      </c>
      <c r="Q267" s="12" t="s">
        <v>1184</v>
      </c>
      <c r="R267" s="12" t="s">
        <v>1184</v>
      </c>
      <c r="S267" s="14"/>
      <c r="T267" s="12"/>
      <c r="U267" s="14"/>
      <c r="V267" s="14"/>
      <c r="W267" s="14"/>
      <c r="X267" s="12"/>
      <c r="Y267" s="12"/>
      <c r="Z267" s="14"/>
      <c r="AA267" s="12"/>
      <c r="AB267" s="15"/>
      <c r="AC267" s="16" t="s">
        <v>111</v>
      </c>
      <c r="AD267" s="16" t="s">
        <v>111</v>
      </c>
      <c r="AE267" s="16" t="s">
        <v>111</v>
      </c>
      <c r="AF267" s="16" t="s">
        <v>111</v>
      </c>
      <c r="AG267" s="16" t="s">
        <v>111</v>
      </c>
      <c r="AH267" s="14" t="s">
        <v>1149</v>
      </c>
      <c r="AI267" s="54">
        <v>0</v>
      </c>
      <c r="AJ267" s="54">
        <v>0</v>
      </c>
      <c r="AK267" s="54">
        <v>0</v>
      </c>
      <c r="AL267" s="54">
        <v>0</v>
      </c>
      <c r="AM267" s="54">
        <v>0</v>
      </c>
      <c r="AN267" s="14" t="s">
        <v>1149</v>
      </c>
    </row>
    <row r="268" spans="1:40" ht="31.5" x14ac:dyDescent="0.25">
      <c r="A268" s="12" t="s">
        <v>1494</v>
      </c>
      <c r="B268" s="12" t="s">
        <v>1495</v>
      </c>
      <c r="C268" s="12" t="s">
        <v>1135</v>
      </c>
      <c r="D268" s="13" t="s">
        <v>848</v>
      </c>
      <c r="E268" s="13" t="s">
        <v>33</v>
      </c>
      <c r="F268" s="13" t="s">
        <v>47</v>
      </c>
      <c r="G268" s="13" t="s">
        <v>48</v>
      </c>
      <c r="H268" s="13" t="s">
        <v>849</v>
      </c>
      <c r="I268" s="12"/>
      <c r="J268" s="13">
        <v>912146493</v>
      </c>
      <c r="K268" s="13"/>
      <c r="L268" s="13" t="s">
        <v>850</v>
      </c>
      <c r="M268" s="14"/>
      <c r="N268" s="13"/>
      <c r="O268" s="12"/>
      <c r="P268" s="12" t="s">
        <v>1184</v>
      </c>
      <c r="Q268" s="12" t="s">
        <v>1184</v>
      </c>
      <c r="R268" s="12" t="s">
        <v>1184</v>
      </c>
      <c r="S268" s="14"/>
      <c r="T268" s="12"/>
      <c r="U268" s="14"/>
      <c r="V268" s="14"/>
      <c r="W268" s="14"/>
      <c r="X268" s="12"/>
      <c r="Y268" s="12"/>
      <c r="Z268" s="14"/>
      <c r="AA268" s="12"/>
      <c r="AB268" s="15"/>
      <c r="AC268" s="16" t="s">
        <v>111</v>
      </c>
      <c r="AD268" s="16" t="s">
        <v>111</v>
      </c>
      <c r="AE268" s="16" t="s">
        <v>111</v>
      </c>
      <c r="AF268" s="16" t="s">
        <v>111</v>
      </c>
      <c r="AG268" s="16" t="s">
        <v>111</v>
      </c>
      <c r="AH268" s="14" t="s">
        <v>1149</v>
      </c>
      <c r="AI268" s="54">
        <v>0</v>
      </c>
      <c r="AJ268" s="54">
        <v>0</v>
      </c>
      <c r="AK268" s="54">
        <v>0</v>
      </c>
      <c r="AL268" s="54">
        <v>0</v>
      </c>
      <c r="AM268" s="54">
        <v>0</v>
      </c>
      <c r="AN268" s="14" t="s">
        <v>1149</v>
      </c>
    </row>
    <row r="269" spans="1:40" ht="47.25" x14ac:dyDescent="0.25">
      <c r="A269" s="12" t="s">
        <v>1496</v>
      </c>
      <c r="B269" s="12" t="s">
        <v>1497</v>
      </c>
      <c r="C269" s="12" t="s">
        <v>1135</v>
      </c>
      <c r="D269" s="13" t="s">
        <v>960</v>
      </c>
      <c r="E269" s="13" t="s">
        <v>33</v>
      </c>
      <c r="F269" s="13" t="s">
        <v>47</v>
      </c>
      <c r="G269" s="13" t="s">
        <v>48</v>
      </c>
      <c r="H269" s="13" t="s">
        <v>968</v>
      </c>
      <c r="I269" s="12"/>
      <c r="J269" s="13">
        <v>925496069</v>
      </c>
      <c r="K269" s="13"/>
      <c r="L269" s="13" t="s">
        <v>969</v>
      </c>
      <c r="M269" s="14"/>
      <c r="N269" s="13"/>
      <c r="O269" s="12"/>
      <c r="P269" s="12" t="s">
        <v>1184</v>
      </c>
      <c r="Q269" s="12" t="s">
        <v>1184</v>
      </c>
      <c r="R269" s="12" t="s">
        <v>1184</v>
      </c>
      <c r="S269" s="14"/>
      <c r="T269" s="12"/>
      <c r="U269" s="14"/>
      <c r="V269" s="14"/>
      <c r="W269" s="14"/>
      <c r="X269" s="12"/>
      <c r="Y269" s="12"/>
      <c r="Z269" s="14"/>
      <c r="AA269" s="12"/>
      <c r="AB269" s="15"/>
      <c r="AC269" s="16" t="s">
        <v>111</v>
      </c>
      <c r="AD269" s="16" t="s">
        <v>111</v>
      </c>
      <c r="AE269" s="16" t="s">
        <v>111</v>
      </c>
      <c r="AF269" s="16" t="s">
        <v>111</v>
      </c>
      <c r="AG269" s="16" t="s">
        <v>111</v>
      </c>
      <c r="AH269" s="14" t="s">
        <v>1149</v>
      </c>
      <c r="AI269" s="54">
        <v>0</v>
      </c>
      <c r="AJ269" s="54">
        <v>0</v>
      </c>
      <c r="AK269" s="54">
        <v>0</v>
      </c>
      <c r="AL269" s="54">
        <v>0</v>
      </c>
      <c r="AM269" s="54">
        <v>0</v>
      </c>
      <c r="AN269" s="14" t="s">
        <v>1149</v>
      </c>
    </row>
    <row r="270" spans="1:40" ht="47.25" x14ac:dyDescent="0.25">
      <c r="A270" s="12" t="s">
        <v>1498</v>
      </c>
      <c r="B270" s="12" t="s">
        <v>1499</v>
      </c>
      <c r="C270" s="12" t="s">
        <v>1136</v>
      </c>
      <c r="D270" s="13" t="s">
        <v>26</v>
      </c>
      <c r="E270" s="13" t="s">
        <v>26</v>
      </c>
      <c r="F270" s="13">
        <v>6682</v>
      </c>
      <c r="G270" s="13" t="s">
        <v>27</v>
      </c>
      <c r="H270" s="13" t="s">
        <v>1030</v>
      </c>
      <c r="I270" s="12"/>
      <c r="J270" s="13">
        <v>625091222</v>
      </c>
      <c r="K270" s="13"/>
      <c r="L270" s="13" t="s">
        <v>1052</v>
      </c>
      <c r="M270" s="14" t="s">
        <v>1073</v>
      </c>
      <c r="N270" s="13" t="s">
        <v>1068</v>
      </c>
      <c r="O270" s="12">
        <v>2</v>
      </c>
      <c r="P270" s="12" t="s">
        <v>174</v>
      </c>
      <c r="Q270" s="12" t="s">
        <v>174</v>
      </c>
      <c r="R270" s="12" t="s">
        <v>867</v>
      </c>
      <c r="S270" s="14" t="s">
        <v>166</v>
      </c>
      <c r="T270" s="12" t="s">
        <v>1199</v>
      </c>
      <c r="U270" s="14" t="s">
        <v>780</v>
      </c>
      <c r="V270" s="14"/>
      <c r="W270" s="14"/>
      <c r="X270" s="12"/>
      <c r="Y270" s="12"/>
      <c r="Z270" s="14"/>
      <c r="AA270" s="12"/>
      <c r="AB270" s="15"/>
      <c r="AC270" s="16" t="s">
        <v>111</v>
      </c>
      <c r="AD270" s="16" t="s">
        <v>111</v>
      </c>
      <c r="AE270" s="16" t="s">
        <v>111</v>
      </c>
      <c r="AF270" s="16" t="s">
        <v>111</v>
      </c>
      <c r="AG270" s="16" t="s">
        <v>111</v>
      </c>
      <c r="AH270" s="14" t="s">
        <v>1149</v>
      </c>
      <c r="AI270" s="54">
        <v>0</v>
      </c>
      <c r="AJ270" s="54">
        <v>0</v>
      </c>
      <c r="AK270" s="54">
        <v>0</v>
      </c>
      <c r="AL270" s="54">
        <v>0</v>
      </c>
      <c r="AM270" s="54">
        <v>0</v>
      </c>
      <c r="AN270" s="14" t="s">
        <v>174</v>
      </c>
    </row>
    <row r="271" spans="1:40" ht="47.25" x14ac:dyDescent="0.25">
      <c r="A271" s="12" t="s">
        <v>1500</v>
      </c>
      <c r="B271" s="12" t="s">
        <v>1501</v>
      </c>
      <c r="C271" s="12" t="s">
        <v>1136</v>
      </c>
      <c r="D271" s="13" t="s">
        <v>28</v>
      </c>
      <c r="E271" s="13" t="s">
        <v>28</v>
      </c>
      <c r="F271" s="13">
        <v>1068</v>
      </c>
      <c r="G271" s="13" t="s">
        <v>29</v>
      </c>
      <c r="H271" s="13" t="s">
        <v>408</v>
      </c>
      <c r="I271" s="12"/>
      <c r="J271" s="13">
        <v>626824511</v>
      </c>
      <c r="K271" s="13"/>
      <c r="L271" s="13" t="s">
        <v>409</v>
      </c>
      <c r="M271" s="14" t="s">
        <v>1073</v>
      </c>
      <c r="N271" s="13" t="s">
        <v>1068</v>
      </c>
      <c r="O271" s="12" t="s">
        <v>53</v>
      </c>
      <c r="P271" s="12" t="s">
        <v>174</v>
      </c>
      <c r="Q271" s="12" t="s">
        <v>868</v>
      </c>
      <c r="R271" s="12" t="s">
        <v>174</v>
      </c>
      <c r="S271" s="14" t="s">
        <v>166</v>
      </c>
      <c r="T271" s="12" t="s">
        <v>1110</v>
      </c>
      <c r="U271" s="14" t="s">
        <v>780</v>
      </c>
      <c r="V271" s="14"/>
      <c r="W271" s="14"/>
      <c r="X271" s="12"/>
      <c r="Y271" s="12"/>
      <c r="Z271" s="14"/>
      <c r="AA271" s="12"/>
      <c r="AB271" s="15"/>
      <c r="AC271" s="16" t="s">
        <v>111</v>
      </c>
      <c r="AD271" s="16">
        <v>1</v>
      </c>
      <c r="AE271" s="16">
        <v>0</v>
      </c>
      <c r="AF271" s="16">
        <v>0</v>
      </c>
      <c r="AG271" s="16">
        <v>0</v>
      </c>
      <c r="AH271" s="14" t="s">
        <v>1149</v>
      </c>
      <c r="AI271" s="54">
        <v>0</v>
      </c>
      <c r="AJ271" s="54">
        <v>1</v>
      </c>
      <c r="AK271" s="54">
        <v>0</v>
      </c>
      <c r="AL271" s="54">
        <v>1</v>
      </c>
      <c r="AM271" s="54">
        <v>1</v>
      </c>
      <c r="AN271" s="14" t="s">
        <v>166</v>
      </c>
    </row>
    <row r="272" spans="1:40" ht="47.25" x14ac:dyDescent="0.25">
      <c r="A272" s="12" t="s">
        <v>1502</v>
      </c>
      <c r="B272" s="12" t="s">
        <v>1503</v>
      </c>
      <c r="C272" s="12" t="s">
        <v>1136</v>
      </c>
      <c r="D272" s="13" t="s">
        <v>30</v>
      </c>
      <c r="E272" s="13" t="s">
        <v>30</v>
      </c>
      <c r="F272" s="13">
        <v>6581</v>
      </c>
      <c r="G272" s="13" t="s">
        <v>31</v>
      </c>
      <c r="H272" s="13" t="s">
        <v>1037</v>
      </c>
      <c r="I272" s="12"/>
      <c r="J272" s="13">
        <v>689270095</v>
      </c>
      <c r="K272" s="13"/>
      <c r="L272" s="13" t="s">
        <v>1059</v>
      </c>
      <c r="M272" s="14" t="s">
        <v>1073</v>
      </c>
      <c r="N272" s="13" t="s">
        <v>1068</v>
      </c>
      <c r="O272" s="12">
        <v>3</v>
      </c>
      <c r="P272" s="12" t="s">
        <v>174</v>
      </c>
      <c r="Q272" s="12" t="s">
        <v>868</v>
      </c>
      <c r="R272" s="12" t="s">
        <v>174</v>
      </c>
      <c r="S272" s="14" t="s">
        <v>166</v>
      </c>
      <c r="T272" s="12" t="s">
        <v>1110</v>
      </c>
      <c r="U272" s="14" t="s">
        <v>780</v>
      </c>
      <c r="V272" s="14"/>
      <c r="W272" s="14"/>
      <c r="X272" s="12"/>
      <c r="Y272" s="12"/>
      <c r="Z272" s="14"/>
      <c r="AA272" s="12"/>
      <c r="AB272" s="15"/>
      <c r="AC272" s="16" t="s">
        <v>111</v>
      </c>
      <c r="AD272" s="16">
        <v>0</v>
      </c>
      <c r="AE272" s="16">
        <v>0</v>
      </c>
      <c r="AF272" s="16">
        <v>0</v>
      </c>
      <c r="AG272" s="16">
        <v>0</v>
      </c>
      <c r="AH272" s="14" t="s">
        <v>1149</v>
      </c>
      <c r="AI272" s="54">
        <v>0</v>
      </c>
      <c r="AJ272" s="54">
        <v>0</v>
      </c>
      <c r="AK272" s="54">
        <v>1</v>
      </c>
      <c r="AL272" s="54">
        <v>1</v>
      </c>
      <c r="AM272" s="54">
        <v>1</v>
      </c>
      <c r="AN272" s="14" t="s">
        <v>166</v>
      </c>
    </row>
    <row r="273" spans="1:40" ht="141.75" x14ac:dyDescent="0.25">
      <c r="A273" s="12" t="s">
        <v>1504</v>
      </c>
      <c r="B273" s="12" t="s">
        <v>1505</v>
      </c>
      <c r="C273" s="12" t="s">
        <v>1136</v>
      </c>
      <c r="D273" s="13" t="s">
        <v>973</v>
      </c>
      <c r="E273" s="13" t="s">
        <v>33</v>
      </c>
      <c r="F273" s="13">
        <v>1882</v>
      </c>
      <c r="G273" s="13" t="s">
        <v>34</v>
      </c>
      <c r="H273" s="13" t="s">
        <v>537</v>
      </c>
      <c r="I273" s="12"/>
      <c r="J273" s="13">
        <v>618562346</v>
      </c>
      <c r="K273" s="13"/>
      <c r="L273" s="13" t="s">
        <v>538</v>
      </c>
      <c r="M273" s="14" t="s">
        <v>1117</v>
      </c>
      <c r="N273" s="13" t="s">
        <v>1108</v>
      </c>
      <c r="O273" s="12" t="s">
        <v>53</v>
      </c>
      <c r="P273" s="12" t="s">
        <v>174</v>
      </c>
      <c r="Q273" s="12" t="s">
        <v>868</v>
      </c>
      <c r="R273" s="12" t="s">
        <v>174</v>
      </c>
      <c r="S273" s="14" t="s">
        <v>166</v>
      </c>
      <c r="T273" s="12" t="s">
        <v>1110</v>
      </c>
      <c r="U273" s="14" t="s">
        <v>1326</v>
      </c>
      <c r="V273" s="14"/>
      <c r="W273" s="14"/>
      <c r="X273" s="12"/>
      <c r="Y273" s="12"/>
      <c r="Z273" s="14"/>
      <c r="AA273" s="12"/>
      <c r="AB273" s="15"/>
      <c r="AC273" s="16">
        <v>0</v>
      </c>
      <c r="AD273" s="16">
        <v>0</v>
      </c>
      <c r="AE273" s="16">
        <v>0</v>
      </c>
      <c r="AF273" s="16">
        <v>0</v>
      </c>
      <c r="AG273" s="16">
        <v>0</v>
      </c>
      <c r="AH273" s="14" t="s">
        <v>174</v>
      </c>
      <c r="AI273" s="54">
        <v>0</v>
      </c>
      <c r="AJ273" s="54">
        <v>0</v>
      </c>
      <c r="AK273" s="54">
        <v>0</v>
      </c>
      <c r="AL273" s="54">
        <v>1</v>
      </c>
      <c r="AM273" s="54">
        <v>0</v>
      </c>
      <c r="AN273" s="14" t="s">
        <v>166</v>
      </c>
    </row>
    <row r="274" spans="1:40" ht="47.25" x14ac:dyDescent="0.25">
      <c r="A274" s="12" t="s">
        <v>1506</v>
      </c>
      <c r="B274" s="12" t="s">
        <v>1507</v>
      </c>
      <c r="C274" s="12" t="s">
        <v>1136</v>
      </c>
      <c r="D274" s="13" t="s">
        <v>974</v>
      </c>
      <c r="E274" s="13" t="s">
        <v>33</v>
      </c>
      <c r="F274" s="13">
        <v>2331</v>
      </c>
      <c r="G274" s="13" t="s">
        <v>55</v>
      </c>
      <c r="H274" s="13" t="s">
        <v>520</v>
      </c>
      <c r="I274" s="12"/>
      <c r="J274" s="13">
        <v>647665107</v>
      </c>
      <c r="K274" s="13"/>
      <c r="L274" s="13" t="s">
        <v>521</v>
      </c>
      <c r="M274" s="14" t="s">
        <v>153</v>
      </c>
      <c r="N274" s="13" t="s">
        <v>152</v>
      </c>
      <c r="O274" s="12" t="s">
        <v>53</v>
      </c>
      <c r="P274" s="12" t="s">
        <v>174</v>
      </c>
      <c r="Q274" s="12" t="s">
        <v>868</v>
      </c>
      <c r="R274" s="12" t="s">
        <v>174</v>
      </c>
      <c r="S274" s="14" t="s">
        <v>166</v>
      </c>
      <c r="T274" s="12" t="s">
        <v>1110</v>
      </c>
      <c r="U274" s="14" t="s">
        <v>782</v>
      </c>
      <c r="V274" s="14"/>
      <c r="W274" s="14"/>
      <c r="X274" s="12"/>
      <c r="Y274" s="12"/>
      <c r="Z274" s="14"/>
      <c r="AA274" s="12"/>
      <c r="AB274" s="15"/>
      <c r="AC274" s="16">
        <v>0</v>
      </c>
      <c r="AD274" s="16">
        <v>0</v>
      </c>
      <c r="AE274" s="16">
        <v>1</v>
      </c>
      <c r="AF274" s="16">
        <v>0</v>
      </c>
      <c r="AG274" s="16">
        <v>0</v>
      </c>
      <c r="AH274" s="14" t="s">
        <v>166</v>
      </c>
      <c r="AI274" s="54">
        <v>0</v>
      </c>
      <c r="AJ274" s="54">
        <v>0</v>
      </c>
      <c r="AK274" s="54">
        <v>1</v>
      </c>
      <c r="AL274" s="54">
        <v>0</v>
      </c>
      <c r="AM274" s="54">
        <v>0</v>
      </c>
      <c r="AN274" s="14" t="s">
        <v>166</v>
      </c>
    </row>
    <row r="275" spans="1:40" ht="141.75" x14ac:dyDescent="0.25">
      <c r="A275" s="12" t="s">
        <v>1508</v>
      </c>
      <c r="B275" s="12" t="s">
        <v>1509</v>
      </c>
      <c r="C275" s="12" t="s">
        <v>1136</v>
      </c>
      <c r="D275" s="13" t="s">
        <v>973</v>
      </c>
      <c r="E275" s="13" t="s">
        <v>33</v>
      </c>
      <c r="F275" s="13">
        <v>465</v>
      </c>
      <c r="G275" s="13" t="s">
        <v>40</v>
      </c>
      <c r="H275" s="13" t="s">
        <v>525</v>
      </c>
      <c r="I275" s="12"/>
      <c r="J275" s="13">
        <v>648769743</v>
      </c>
      <c r="K275" s="13"/>
      <c r="L275" s="13" t="s">
        <v>526</v>
      </c>
      <c r="M275" s="14" t="s">
        <v>1074</v>
      </c>
      <c r="N275" s="13" t="s">
        <v>1069</v>
      </c>
      <c r="O275" s="12" t="s">
        <v>53</v>
      </c>
      <c r="P275" s="12" t="s">
        <v>174</v>
      </c>
      <c r="Q275" s="12" t="s">
        <v>868</v>
      </c>
      <c r="R275" s="12" t="s">
        <v>174</v>
      </c>
      <c r="S275" s="14" t="s">
        <v>166</v>
      </c>
      <c r="T275" s="12" t="s">
        <v>1110</v>
      </c>
      <c r="U275" s="14" t="s">
        <v>781</v>
      </c>
      <c r="V275" s="14"/>
      <c r="W275" s="14"/>
      <c r="X275" s="12"/>
      <c r="Y275" s="12"/>
      <c r="Z275" s="14"/>
      <c r="AA275" s="12"/>
      <c r="AB275" s="15"/>
      <c r="AC275" s="16">
        <v>0</v>
      </c>
      <c r="AD275" s="16">
        <v>1</v>
      </c>
      <c r="AE275" s="16">
        <v>0</v>
      </c>
      <c r="AF275" s="16">
        <v>0</v>
      </c>
      <c r="AG275" s="16">
        <v>0</v>
      </c>
      <c r="AH275" s="14" t="s">
        <v>166</v>
      </c>
      <c r="AI275" s="54">
        <v>0</v>
      </c>
      <c r="AJ275" s="54">
        <v>1</v>
      </c>
      <c r="AK275" s="54">
        <v>0</v>
      </c>
      <c r="AL275" s="54">
        <v>0</v>
      </c>
      <c r="AM275" s="54">
        <v>0</v>
      </c>
      <c r="AN275" s="14" t="s">
        <v>166</v>
      </c>
    </row>
    <row r="276" spans="1:40" ht="47.25" x14ac:dyDescent="0.25">
      <c r="A276" s="12" t="s">
        <v>1510</v>
      </c>
      <c r="B276" s="12" t="s">
        <v>1511</v>
      </c>
      <c r="C276" s="12" t="s">
        <v>1136</v>
      </c>
      <c r="D276" s="13" t="s">
        <v>974</v>
      </c>
      <c r="E276" s="13" t="s">
        <v>33</v>
      </c>
      <c r="F276" s="13">
        <v>2306</v>
      </c>
      <c r="G276" s="13" t="s">
        <v>40</v>
      </c>
      <c r="H276" s="13" t="s">
        <v>518</v>
      </c>
      <c r="I276" s="12"/>
      <c r="J276" s="13">
        <v>676541985</v>
      </c>
      <c r="K276" s="13"/>
      <c r="L276" s="13" t="s">
        <v>519</v>
      </c>
      <c r="M276" s="14" t="s">
        <v>153</v>
      </c>
      <c r="N276" s="13" t="s">
        <v>152</v>
      </c>
      <c r="O276" s="12" t="s">
        <v>53</v>
      </c>
      <c r="P276" s="12" t="s">
        <v>174</v>
      </c>
      <c r="Q276" s="12" t="s">
        <v>868</v>
      </c>
      <c r="R276" s="12" t="s">
        <v>174</v>
      </c>
      <c r="S276" s="14" t="s">
        <v>166</v>
      </c>
      <c r="T276" s="12" t="s">
        <v>1110</v>
      </c>
      <c r="U276" s="14" t="s">
        <v>782</v>
      </c>
      <c r="V276" s="14"/>
      <c r="W276" s="14"/>
      <c r="X276" s="12"/>
      <c r="Y276" s="12"/>
      <c r="Z276" s="14"/>
      <c r="AA276" s="12"/>
      <c r="AB276" s="15"/>
      <c r="AC276" s="16">
        <v>0</v>
      </c>
      <c r="AD276" s="16">
        <v>0</v>
      </c>
      <c r="AE276" s="16">
        <v>0</v>
      </c>
      <c r="AF276" s="16">
        <v>1</v>
      </c>
      <c r="AG276" s="16">
        <v>0</v>
      </c>
      <c r="AH276" s="14" t="s">
        <v>166</v>
      </c>
      <c r="AI276" s="54">
        <v>0</v>
      </c>
      <c r="AJ276" s="54">
        <v>0</v>
      </c>
      <c r="AK276" s="54">
        <v>0</v>
      </c>
      <c r="AL276" s="54">
        <v>1</v>
      </c>
      <c r="AM276" s="54">
        <v>0</v>
      </c>
      <c r="AN276" s="14" t="s">
        <v>166</v>
      </c>
    </row>
    <row r="277" spans="1:40" ht="141.75" x14ac:dyDescent="0.25">
      <c r="A277" s="12" t="s">
        <v>1512</v>
      </c>
      <c r="B277" s="12" t="s">
        <v>1513</v>
      </c>
      <c r="C277" s="12" t="s">
        <v>1136</v>
      </c>
      <c r="D277" s="13" t="s">
        <v>973</v>
      </c>
      <c r="E277" s="13" t="s">
        <v>33</v>
      </c>
      <c r="F277" s="13">
        <v>42</v>
      </c>
      <c r="G277" s="13" t="s">
        <v>41</v>
      </c>
      <c r="H277" s="13" t="s">
        <v>527</v>
      </c>
      <c r="I277" s="12"/>
      <c r="J277" s="13">
        <v>690820723</v>
      </c>
      <c r="K277" s="13"/>
      <c r="L277" s="13" t="s">
        <v>528</v>
      </c>
      <c r="M277" s="14" t="s">
        <v>1074</v>
      </c>
      <c r="N277" s="13" t="s">
        <v>1069</v>
      </c>
      <c r="O277" s="12" t="s">
        <v>53</v>
      </c>
      <c r="P277" s="12" t="s">
        <v>174</v>
      </c>
      <c r="Q277" s="12" t="s">
        <v>868</v>
      </c>
      <c r="R277" s="12" t="s">
        <v>174</v>
      </c>
      <c r="S277" s="14" t="s">
        <v>166</v>
      </c>
      <c r="T277" s="12" t="s">
        <v>1110</v>
      </c>
      <c r="U277" s="14" t="s">
        <v>781</v>
      </c>
      <c r="V277" s="14"/>
      <c r="W277" s="14"/>
      <c r="X277" s="12"/>
      <c r="Y277" s="12"/>
      <c r="Z277" s="14"/>
      <c r="AA277" s="12"/>
      <c r="AB277" s="15"/>
      <c r="AC277" s="16">
        <v>0</v>
      </c>
      <c r="AD277" s="16">
        <v>0</v>
      </c>
      <c r="AE277" s="16">
        <v>1</v>
      </c>
      <c r="AF277" s="16">
        <v>0</v>
      </c>
      <c r="AG277" s="16">
        <v>0</v>
      </c>
      <c r="AH277" s="14" t="s">
        <v>166</v>
      </c>
      <c r="AI277" s="54">
        <v>0</v>
      </c>
      <c r="AJ277" s="54">
        <v>0</v>
      </c>
      <c r="AK277" s="54">
        <v>1</v>
      </c>
      <c r="AL277" s="54">
        <v>0</v>
      </c>
      <c r="AM277" s="54">
        <v>0</v>
      </c>
      <c r="AN277" s="14" t="s">
        <v>166</v>
      </c>
    </row>
    <row r="278" spans="1:40" ht="47.25" x14ac:dyDescent="0.25">
      <c r="A278" s="12" t="s">
        <v>1514</v>
      </c>
      <c r="B278" s="12" t="s">
        <v>1515</v>
      </c>
      <c r="C278" s="12" t="s">
        <v>1136</v>
      </c>
      <c r="D278" s="13" t="s">
        <v>974</v>
      </c>
      <c r="E278" s="13" t="s">
        <v>33</v>
      </c>
      <c r="F278" s="13">
        <v>2473</v>
      </c>
      <c r="G278" s="13" t="s">
        <v>41</v>
      </c>
      <c r="H278" s="13" t="s">
        <v>522</v>
      </c>
      <c r="I278" s="12"/>
      <c r="J278" s="13">
        <v>683349895</v>
      </c>
      <c r="K278" s="13"/>
      <c r="L278" s="13" t="s">
        <v>523</v>
      </c>
      <c r="M278" s="14" t="s">
        <v>153</v>
      </c>
      <c r="N278" s="13" t="s">
        <v>152</v>
      </c>
      <c r="O278" s="12" t="s">
        <v>53</v>
      </c>
      <c r="P278" s="12" t="s">
        <v>174</v>
      </c>
      <c r="Q278" s="12" t="s">
        <v>868</v>
      </c>
      <c r="R278" s="12" t="s">
        <v>174</v>
      </c>
      <c r="S278" s="14" t="s">
        <v>166</v>
      </c>
      <c r="T278" s="12" t="s">
        <v>1110</v>
      </c>
      <c r="U278" s="14" t="s">
        <v>782</v>
      </c>
      <c r="V278" s="14"/>
      <c r="W278" s="14"/>
      <c r="X278" s="12"/>
      <c r="Y278" s="12"/>
      <c r="Z278" s="14"/>
      <c r="AA278" s="12"/>
      <c r="AB278" s="15"/>
      <c r="AC278" s="16">
        <v>0</v>
      </c>
      <c r="AD278" s="16">
        <v>0</v>
      </c>
      <c r="AE278" s="16">
        <v>1</v>
      </c>
      <c r="AF278" s="16">
        <v>0</v>
      </c>
      <c r="AG278" s="16">
        <v>0</v>
      </c>
      <c r="AH278" s="14" t="s">
        <v>166</v>
      </c>
      <c r="AI278" s="54">
        <v>0</v>
      </c>
      <c r="AJ278" s="54">
        <v>0</v>
      </c>
      <c r="AK278" s="54">
        <v>1</v>
      </c>
      <c r="AL278" s="54">
        <v>0</v>
      </c>
      <c r="AM278" s="54">
        <v>0</v>
      </c>
      <c r="AN278" s="14" t="s">
        <v>166</v>
      </c>
    </row>
    <row r="279" spans="1:40" ht="141.75" x14ac:dyDescent="0.25">
      <c r="A279" s="12" t="s">
        <v>1516</v>
      </c>
      <c r="B279" s="12" t="s">
        <v>1517</v>
      </c>
      <c r="C279" s="12" t="s">
        <v>1136</v>
      </c>
      <c r="D279" s="13" t="s">
        <v>973</v>
      </c>
      <c r="E279" s="13" t="s">
        <v>33</v>
      </c>
      <c r="F279" s="13">
        <v>1767</v>
      </c>
      <c r="G279" s="13" t="s">
        <v>45</v>
      </c>
      <c r="H279" s="13" t="s">
        <v>531</v>
      </c>
      <c r="I279" s="12"/>
      <c r="J279" s="13">
        <v>609838886</v>
      </c>
      <c r="K279" s="13"/>
      <c r="L279" s="13" t="s">
        <v>532</v>
      </c>
      <c r="M279" s="14" t="s">
        <v>159</v>
      </c>
      <c r="N279" s="13" t="s">
        <v>158</v>
      </c>
      <c r="O279" s="12" t="s">
        <v>53</v>
      </c>
      <c r="P279" s="12" t="s">
        <v>174</v>
      </c>
      <c r="Q279" s="12" t="s">
        <v>868</v>
      </c>
      <c r="R279" s="12" t="s">
        <v>174</v>
      </c>
      <c r="S279" s="14" t="s">
        <v>166</v>
      </c>
      <c r="T279" s="12" t="s">
        <v>1110</v>
      </c>
      <c r="U279" s="14" t="s">
        <v>1518</v>
      </c>
      <c r="V279" s="14"/>
      <c r="W279" s="14"/>
      <c r="X279" s="12"/>
      <c r="Y279" s="12"/>
      <c r="Z279" s="14"/>
      <c r="AA279" s="12"/>
      <c r="AB279" s="15"/>
      <c r="AC279" s="16">
        <v>0</v>
      </c>
      <c r="AD279" s="16">
        <v>0</v>
      </c>
      <c r="AE279" s="16">
        <v>0</v>
      </c>
      <c r="AF279" s="16">
        <v>0</v>
      </c>
      <c r="AG279" s="16">
        <v>1</v>
      </c>
      <c r="AH279" s="14" t="s">
        <v>166</v>
      </c>
      <c r="AI279" s="54">
        <v>0</v>
      </c>
      <c r="AJ279" s="54">
        <v>0</v>
      </c>
      <c r="AK279" s="54">
        <v>0</v>
      </c>
      <c r="AL279" s="54">
        <v>1</v>
      </c>
      <c r="AM279" s="54">
        <v>1</v>
      </c>
      <c r="AN279" s="14" t="s">
        <v>166</v>
      </c>
    </row>
    <row r="280" spans="1:40" ht="31.5" x14ac:dyDescent="0.25">
      <c r="A280" s="12" t="s">
        <v>1519</v>
      </c>
      <c r="B280" s="12" t="s">
        <v>1520</v>
      </c>
      <c r="C280" s="12" t="s">
        <v>1136</v>
      </c>
      <c r="D280" s="13" t="s">
        <v>974</v>
      </c>
      <c r="E280" s="13" t="s">
        <v>33</v>
      </c>
      <c r="F280" s="13">
        <v>1721</v>
      </c>
      <c r="G280" s="13" t="s">
        <v>45</v>
      </c>
      <c r="H280" s="13" t="s">
        <v>535</v>
      </c>
      <c r="I280" s="12"/>
      <c r="J280" s="13">
        <v>696354134</v>
      </c>
      <c r="K280" s="13"/>
      <c r="L280" s="13" t="s">
        <v>536</v>
      </c>
      <c r="M280" s="14" t="s">
        <v>1117</v>
      </c>
      <c r="N280" s="13" t="s">
        <v>1108</v>
      </c>
      <c r="O280" s="12" t="s">
        <v>53</v>
      </c>
      <c r="P280" s="12" t="s">
        <v>174</v>
      </c>
      <c r="Q280" s="12" t="s">
        <v>868</v>
      </c>
      <c r="R280" s="12" t="s">
        <v>174</v>
      </c>
      <c r="S280" s="14" t="s">
        <v>166</v>
      </c>
      <c r="T280" s="12" t="s">
        <v>1110</v>
      </c>
      <c r="U280" s="14" t="s">
        <v>1326</v>
      </c>
      <c r="V280" s="14"/>
      <c r="W280" s="14"/>
      <c r="X280" s="12"/>
      <c r="Y280" s="12"/>
      <c r="Z280" s="14"/>
      <c r="AA280" s="12"/>
      <c r="AB280" s="15"/>
      <c r="AC280" s="16">
        <v>0</v>
      </c>
      <c r="AD280" s="16">
        <v>0</v>
      </c>
      <c r="AE280" s="16">
        <v>0</v>
      </c>
      <c r="AF280" s="16">
        <v>0</v>
      </c>
      <c r="AG280" s="16">
        <v>1</v>
      </c>
      <c r="AH280" s="14" t="s">
        <v>166</v>
      </c>
      <c r="AI280" s="54">
        <v>0</v>
      </c>
      <c r="AJ280" s="54">
        <v>0</v>
      </c>
      <c r="AK280" s="54">
        <v>0</v>
      </c>
      <c r="AL280" s="54">
        <v>1</v>
      </c>
      <c r="AM280" s="54">
        <v>1</v>
      </c>
      <c r="AN280" s="14" t="s">
        <v>166</v>
      </c>
    </row>
    <row r="281" spans="1:40" ht="141.75" x14ac:dyDescent="0.25">
      <c r="A281" s="12" t="s">
        <v>1521</v>
      </c>
      <c r="B281" s="12" t="s">
        <v>1522</v>
      </c>
      <c r="C281" s="12" t="s">
        <v>1136</v>
      </c>
      <c r="D281" s="13" t="s">
        <v>973</v>
      </c>
      <c r="E281" s="13" t="s">
        <v>33</v>
      </c>
      <c r="F281" s="13">
        <v>1757</v>
      </c>
      <c r="G281" s="13" t="s">
        <v>35</v>
      </c>
      <c r="H281" s="13" t="s">
        <v>529</v>
      </c>
      <c r="I281" s="12"/>
      <c r="J281" s="13">
        <v>606507068</v>
      </c>
      <c r="K281" s="13"/>
      <c r="L281" s="13" t="s">
        <v>530</v>
      </c>
      <c r="M281" s="14" t="s">
        <v>163</v>
      </c>
      <c r="N281" s="13" t="s">
        <v>162</v>
      </c>
      <c r="O281" s="12" t="s">
        <v>53</v>
      </c>
      <c r="P281" s="12" t="s">
        <v>174</v>
      </c>
      <c r="Q281" s="12" t="s">
        <v>868</v>
      </c>
      <c r="R281" s="12" t="s">
        <v>174</v>
      </c>
      <c r="S281" s="14" t="s">
        <v>166</v>
      </c>
      <c r="T281" s="12" t="s">
        <v>1110</v>
      </c>
      <c r="U281" s="14" t="s">
        <v>1366</v>
      </c>
      <c r="V281" s="14"/>
      <c r="W281" s="14"/>
      <c r="X281" s="12"/>
      <c r="Y281" s="12"/>
      <c r="Z281" s="14"/>
      <c r="AA281" s="12"/>
      <c r="AB281" s="15"/>
      <c r="AC281" s="16">
        <v>0</v>
      </c>
      <c r="AD281" s="16">
        <v>0</v>
      </c>
      <c r="AE281" s="16">
        <v>0</v>
      </c>
      <c r="AF281" s="16">
        <v>1</v>
      </c>
      <c r="AG281" s="16">
        <v>0</v>
      </c>
      <c r="AH281" s="14" t="s">
        <v>166</v>
      </c>
      <c r="AI281" s="54">
        <v>0</v>
      </c>
      <c r="AJ281" s="54">
        <v>0</v>
      </c>
      <c r="AK281" s="54">
        <v>0</v>
      </c>
      <c r="AL281" s="54">
        <v>1</v>
      </c>
      <c r="AM281" s="54">
        <v>0</v>
      </c>
      <c r="AN281" s="14" t="s">
        <v>166</v>
      </c>
    </row>
    <row r="282" spans="1:40" ht="141.75" x14ac:dyDescent="0.25">
      <c r="A282" s="12" t="s">
        <v>1523</v>
      </c>
      <c r="B282" s="12" t="s">
        <v>1524</v>
      </c>
      <c r="C282" s="12" t="s">
        <v>1136</v>
      </c>
      <c r="D282" s="13" t="s">
        <v>973</v>
      </c>
      <c r="E282" s="13" t="s">
        <v>33</v>
      </c>
      <c r="F282" s="13">
        <v>1832</v>
      </c>
      <c r="G282" s="13" t="s">
        <v>59</v>
      </c>
      <c r="H282" s="13" t="s">
        <v>533</v>
      </c>
      <c r="I282" s="12"/>
      <c r="J282" s="13">
        <v>682066310</v>
      </c>
      <c r="K282" s="13"/>
      <c r="L282" s="13" t="s">
        <v>534</v>
      </c>
      <c r="M282" s="14" t="s">
        <v>1118</v>
      </c>
      <c r="N282" s="13" t="s">
        <v>1109</v>
      </c>
      <c r="O282" s="12" t="s">
        <v>53</v>
      </c>
      <c r="P282" s="12" t="s">
        <v>1045</v>
      </c>
      <c r="Q282" s="12" t="s">
        <v>174</v>
      </c>
      <c r="R282" s="12" t="s">
        <v>174</v>
      </c>
      <c r="S282" s="14" t="s">
        <v>166</v>
      </c>
      <c r="T282" s="12" t="s">
        <v>1110</v>
      </c>
      <c r="U282" s="14" t="s">
        <v>1323</v>
      </c>
      <c r="V282" s="14"/>
      <c r="W282" s="14"/>
      <c r="X282" s="12"/>
      <c r="Y282" s="12"/>
      <c r="Z282" s="14"/>
      <c r="AA282" s="12"/>
      <c r="AB282" s="15"/>
      <c r="AC282" s="16">
        <v>0</v>
      </c>
      <c r="AD282" s="16">
        <v>0</v>
      </c>
      <c r="AE282" s="16">
        <v>0</v>
      </c>
      <c r="AF282" s="16">
        <v>0</v>
      </c>
      <c r="AG282" s="16">
        <v>0</v>
      </c>
      <c r="AH282" s="14" t="s">
        <v>174</v>
      </c>
      <c r="AI282" s="54">
        <v>0</v>
      </c>
      <c r="AJ282" s="54">
        <v>0</v>
      </c>
      <c r="AK282" s="54">
        <v>0</v>
      </c>
      <c r="AL282" s="54">
        <v>1</v>
      </c>
      <c r="AM282" s="54">
        <v>1</v>
      </c>
      <c r="AN282" s="14" t="s">
        <v>166</v>
      </c>
    </row>
    <row r="283" spans="1:40" ht="141.75" x14ac:dyDescent="0.25">
      <c r="A283" s="12" t="s">
        <v>1525</v>
      </c>
      <c r="B283" s="12" t="s">
        <v>1526</v>
      </c>
      <c r="C283" s="12" t="s">
        <v>1136</v>
      </c>
      <c r="D283" s="13" t="s">
        <v>973</v>
      </c>
      <c r="E283" s="13" t="s">
        <v>33</v>
      </c>
      <c r="F283" s="13" t="s">
        <v>47</v>
      </c>
      <c r="G283" s="13" t="s">
        <v>48</v>
      </c>
      <c r="H283" s="13" t="s">
        <v>105</v>
      </c>
      <c r="I283" s="12"/>
      <c r="J283" s="13"/>
      <c r="K283" s="13"/>
      <c r="L283" s="13" t="s">
        <v>106</v>
      </c>
      <c r="M283" s="14"/>
      <c r="N283" s="13"/>
      <c r="O283" s="12"/>
      <c r="P283" s="12" t="s">
        <v>1184</v>
      </c>
      <c r="Q283" s="12" t="s">
        <v>1184</v>
      </c>
      <c r="R283" s="12" t="s">
        <v>1184</v>
      </c>
      <c r="S283" s="14"/>
      <c r="T283" s="12"/>
      <c r="U283" s="14"/>
      <c r="V283" s="14"/>
      <c r="W283" s="14"/>
      <c r="X283" s="12"/>
      <c r="Y283" s="12"/>
      <c r="Z283" s="14"/>
      <c r="AA283" s="12"/>
      <c r="AB283" s="15"/>
      <c r="AC283" s="16" t="s">
        <v>111</v>
      </c>
      <c r="AD283" s="16" t="s">
        <v>111</v>
      </c>
      <c r="AE283" s="16" t="s">
        <v>111</v>
      </c>
      <c r="AF283" s="16" t="s">
        <v>111</v>
      </c>
      <c r="AG283" s="16" t="s">
        <v>111</v>
      </c>
      <c r="AH283" s="14" t="s">
        <v>1149</v>
      </c>
      <c r="AI283" s="54">
        <v>0</v>
      </c>
      <c r="AJ283" s="54">
        <v>0</v>
      </c>
      <c r="AK283" s="54">
        <v>0</v>
      </c>
      <c r="AL283" s="54">
        <v>0</v>
      </c>
      <c r="AM283" s="54">
        <v>0</v>
      </c>
      <c r="AN283" s="14" t="s">
        <v>1149</v>
      </c>
    </row>
    <row r="284" spans="1:40" ht="141.75" x14ac:dyDescent="0.25">
      <c r="A284" s="12" t="s">
        <v>1525</v>
      </c>
      <c r="B284" s="12" t="s">
        <v>1526</v>
      </c>
      <c r="C284" s="12" t="s">
        <v>1136</v>
      </c>
      <c r="D284" s="13" t="s">
        <v>973</v>
      </c>
      <c r="E284" s="13" t="s">
        <v>33</v>
      </c>
      <c r="F284" s="13" t="s">
        <v>47</v>
      </c>
      <c r="G284" s="13" t="s">
        <v>48</v>
      </c>
      <c r="H284" s="13" t="s">
        <v>107</v>
      </c>
      <c r="I284" s="12"/>
      <c r="J284" s="13"/>
      <c r="K284" s="13"/>
      <c r="L284" s="13" t="s">
        <v>108</v>
      </c>
      <c r="M284" s="14"/>
      <c r="N284" s="13"/>
      <c r="O284" s="12"/>
      <c r="P284" s="12" t="s">
        <v>1184</v>
      </c>
      <c r="Q284" s="12" t="s">
        <v>1184</v>
      </c>
      <c r="R284" s="12" t="s">
        <v>1184</v>
      </c>
      <c r="S284" s="14"/>
      <c r="T284" s="12"/>
      <c r="U284" s="14"/>
      <c r="V284" s="14"/>
      <c r="W284" s="14"/>
      <c r="X284" s="12"/>
      <c r="Y284" s="12"/>
      <c r="Z284" s="14"/>
      <c r="AA284" s="12"/>
      <c r="AB284" s="15"/>
      <c r="AC284" s="16" t="s">
        <v>111</v>
      </c>
      <c r="AD284" s="16" t="s">
        <v>111</v>
      </c>
      <c r="AE284" s="16" t="s">
        <v>111</v>
      </c>
      <c r="AF284" s="16" t="s">
        <v>111</v>
      </c>
      <c r="AG284" s="16" t="s">
        <v>111</v>
      </c>
      <c r="AH284" s="14" t="s">
        <v>1149</v>
      </c>
      <c r="AI284" s="54">
        <v>0</v>
      </c>
      <c r="AJ284" s="54">
        <v>0</v>
      </c>
      <c r="AK284" s="54">
        <v>0</v>
      </c>
      <c r="AL284" s="54">
        <v>0</v>
      </c>
      <c r="AM284" s="54">
        <v>0</v>
      </c>
      <c r="AN284" s="14" t="s">
        <v>1149</v>
      </c>
    </row>
    <row r="285" spans="1:40" ht="47.25" x14ac:dyDescent="0.25">
      <c r="A285" s="12" t="s">
        <v>1527</v>
      </c>
      <c r="B285" s="12" t="s">
        <v>1528</v>
      </c>
      <c r="C285" s="12" t="s">
        <v>1139</v>
      </c>
      <c r="D285" s="13" t="s">
        <v>26</v>
      </c>
      <c r="E285" s="13" t="s">
        <v>26</v>
      </c>
      <c r="F285" s="13">
        <v>6819</v>
      </c>
      <c r="G285" s="13" t="s">
        <v>27</v>
      </c>
      <c r="H285" s="13" t="s">
        <v>1036</v>
      </c>
      <c r="I285" s="12"/>
      <c r="J285" s="13">
        <v>630979241</v>
      </c>
      <c r="K285" s="13"/>
      <c r="L285" s="13" t="s">
        <v>1058</v>
      </c>
      <c r="M285" s="14" t="s">
        <v>1073</v>
      </c>
      <c r="N285" s="13" t="s">
        <v>1068</v>
      </c>
      <c r="O285" s="12">
        <v>2</v>
      </c>
      <c r="P285" s="12" t="s">
        <v>174</v>
      </c>
      <c r="Q285" s="12" t="s">
        <v>174</v>
      </c>
      <c r="R285" s="12" t="s">
        <v>174</v>
      </c>
      <c r="S285" s="14" t="s">
        <v>166</v>
      </c>
      <c r="T285" s="12" t="s">
        <v>1199</v>
      </c>
      <c r="U285" s="14" t="s">
        <v>780</v>
      </c>
      <c r="V285" s="14"/>
      <c r="W285" s="14"/>
      <c r="X285" s="12"/>
      <c r="Y285" s="12"/>
      <c r="Z285" s="14"/>
      <c r="AA285" s="12"/>
      <c r="AB285" s="15"/>
      <c r="AC285" s="16" t="s">
        <v>111</v>
      </c>
      <c r="AD285" s="16" t="s">
        <v>111</v>
      </c>
      <c r="AE285" s="16" t="s">
        <v>111</v>
      </c>
      <c r="AF285" s="16" t="s">
        <v>111</v>
      </c>
      <c r="AG285" s="16" t="s">
        <v>111</v>
      </c>
      <c r="AH285" s="14" t="s">
        <v>1149</v>
      </c>
      <c r="AI285" s="54">
        <v>0</v>
      </c>
      <c r="AJ285" s="54">
        <v>0</v>
      </c>
      <c r="AK285" s="54">
        <v>0</v>
      </c>
      <c r="AL285" s="54">
        <v>0</v>
      </c>
      <c r="AM285" s="54">
        <v>0</v>
      </c>
      <c r="AN285" s="14" t="s">
        <v>174</v>
      </c>
    </row>
    <row r="286" spans="1:40" ht="47.25" x14ac:dyDescent="0.25">
      <c r="A286" s="12" t="s">
        <v>1529</v>
      </c>
      <c r="B286" s="12" t="s">
        <v>1530</v>
      </c>
      <c r="C286" s="12" t="s">
        <v>1139</v>
      </c>
      <c r="D286" s="13" t="s">
        <v>28</v>
      </c>
      <c r="E286" s="13" t="s">
        <v>28</v>
      </c>
      <c r="F286" s="13">
        <v>6819</v>
      </c>
      <c r="G286" s="13" t="s">
        <v>29</v>
      </c>
      <c r="H286" s="13" t="s">
        <v>1036</v>
      </c>
      <c r="I286" s="12"/>
      <c r="J286" s="13">
        <v>630979241</v>
      </c>
      <c r="K286" s="13"/>
      <c r="L286" s="13" t="s">
        <v>1058</v>
      </c>
      <c r="M286" s="14" t="s">
        <v>1073</v>
      </c>
      <c r="N286" s="13" t="s">
        <v>1068</v>
      </c>
      <c r="O286" s="12">
        <v>6</v>
      </c>
      <c r="P286" s="12" t="s">
        <v>174</v>
      </c>
      <c r="Q286" s="12" t="s">
        <v>174</v>
      </c>
      <c r="R286" s="12" t="s">
        <v>174</v>
      </c>
      <c r="S286" s="14" t="s">
        <v>166</v>
      </c>
      <c r="T286" s="12" t="s">
        <v>1199</v>
      </c>
      <c r="U286" s="14" t="s">
        <v>780</v>
      </c>
      <c r="V286" s="14"/>
      <c r="W286" s="14"/>
      <c r="X286" s="12"/>
      <c r="Y286" s="12"/>
      <c r="Z286" s="14"/>
      <c r="AA286" s="12"/>
      <c r="AB286" s="15"/>
      <c r="AC286" s="16" t="s">
        <v>111</v>
      </c>
      <c r="AD286" s="16">
        <v>0</v>
      </c>
      <c r="AE286" s="16">
        <v>0</v>
      </c>
      <c r="AF286" s="16">
        <v>0</v>
      </c>
      <c r="AG286" s="16">
        <v>0</v>
      </c>
      <c r="AH286" s="14" t="s">
        <v>1149</v>
      </c>
      <c r="AI286" s="54">
        <v>0</v>
      </c>
      <c r="AJ286" s="54">
        <v>1</v>
      </c>
      <c r="AK286" s="54">
        <v>1</v>
      </c>
      <c r="AL286" s="54">
        <v>1</v>
      </c>
      <c r="AM286" s="54">
        <v>1</v>
      </c>
      <c r="AN286" s="14" t="s">
        <v>166</v>
      </c>
    </row>
    <row r="287" spans="1:40" ht="47.25" x14ac:dyDescent="0.25">
      <c r="A287" s="12" t="s">
        <v>1531</v>
      </c>
      <c r="B287" s="12" t="s">
        <v>1532</v>
      </c>
      <c r="C287" s="12" t="s">
        <v>1139</v>
      </c>
      <c r="D287" s="13" t="s">
        <v>30</v>
      </c>
      <c r="E287" s="13" t="s">
        <v>30</v>
      </c>
      <c r="F287" s="13">
        <v>253</v>
      </c>
      <c r="G287" s="13" t="s">
        <v>31</v>
      </c>
      <c r="H287" s="13" t="s">
        <v>485</v>
      </c>
      <c r="I287" s="12"/>
      <c r="J287" s="13">
        <v>636196528</v>
      </c>
      <c r="K287" s="13"/>
      <c r="L287" s="13" t="s">
        <v>486</v>
      </c>
      <c r="M287" s="14" t="s">
        <v>1074</v>
      </c>
      <c r="N287" s="13" t="s">
        <v>1069</v>
      </c>
      <c r="O287" s="12">
        <v>2</v>
      </c>
      <c r="P287" s="12" t="s">
        <v>174</v>
      </c>
      <c r="Q287" s="12" t="s">
        <v>868</v>
      </c>
      <c r="R287" s="12" t="s">
        <v>174</v>
      </c>
      <c r="S287" s="14" t="s">
        <v>166</v>
      </c>
      <c r="T287" s="12" t="s">
        <v>1110</v>
      </c>
      <c r="U287" s="14" t="s">
        <v>781</v>
      </c>
      <c r="V287" s="14"/>
      <c r="W287" s="14"/>
      <c r="X287" s="12"/>
      <c r="Y287" s="12"/>
      <c r="Z287" s="14"/>
      <c r="AA287" s="12"/>
      <c r="AB287" s="15"/>
      <c r="AC287" s="16" t="s">
        <v>111</v>
      </c>
      <c r="AD287" s="16">
        <v>1</v>
      </c>
      <c r="AE287" s="16">
        <v>0</v>
      </c>
      <c r="AF287" s="16">
        <v>0</v>
      </c>
      <c r="AG287" s="16">
        <v>0</v>
      </c>
      <c r="AH287" s="14" t="s">
        <v>1149</v>
      </c>
      <c r="AI287" s="54">
        <v>0</v>
      </c>
      <c r="AJ287" s="54">
        <v>1</v>
      </c>
      <c r="AK287" s="54">
        <v>1</v>
      </c>
      <c r="AL287" s="54">
        <v>1</v>
      </c>
      <c r="AM287" s="54">
        <v>0</v>
      </c>
      <c r="AN287" s="14" t="s">
        <v>166</v>
      </c>
    </row>
    <row r="288" spans="1:40" ht="47.25" x14ac:dyDescent="0.25">
      <c r="A288" s="12" t="s">
        <v>1531</v>
      </c>
      <c r="B288" s="12" t="s">
        <v>1532</v>
      </c>
      <c r="C288" s="12" t="s">
        <v>1139</v>
      </c>
      <c r="D288" s="13" t="s">
        <v>30</v>
      </c>
      <c r="E288" s="13" t="s">
        <v>30</v>
      </c>
      <c r="F288" s="13">
        <v>6733</v>
      </c>
      <c r="G288" s="13" t="s">
        <v>31</v>
      </c>
      <c r="H288" s="13" t="s">
        <v>1038</v>
      </c>
      <c r="I288" s="12"/>
      <c r="J288" s="13">
        <v>648277097</v>
      </c>
      <c r="K288" s="13"/>
      <c r="L288" s="13" t="s">
        <v>1060</v>
      </c>
      <c r="M288" s="14" t="s">
        <v>1073</v>
      </c>
      <c r="N288" s="13" t="s">
        <v>1068</v>
      </c>
      <c r="O288" s="12" t="s">
        <v>53</v>
      </c>
      <c r="P288" s="12" t="s">
        <v>174</v>
      </c>
      <c r="Q288" s="12" t="s">
        <v>868</v>
      </c>
      <c r="R288" s="12" t="s">
        <v>174</v>
      </c>
      <c r="S288" s="14" t="s">
        <v>166</v>
      </c>
      <c r="T288" s="12" t="s">
        <v>1199</v>
      </c>
      <c r="U288" s="14" t="s">
        <v>780</v>
      </c>
      <c r="V288" s="14"/>
      <c r="W288" s="14"/>
      <c r="X288" s="12"/>
      <c r="Y288" s="12"/>
      <c r="Z288" s="14"/>
      <c r="AA288" s="12"/>
      <c r="AB288" s="15"/>
      <c r="AC288" s="16" t="s">
        <v>111</v>
      </c>
      <c r="AD288" s="16">
        <v>0</v>
      </c>
      <c r="AE288" s="16">
        <v>0</v>
      </c>
      <c r="AF288" s="16">
        <v>0</v>
      </c>
      <c r="AG288" s="16">
        <v>0</v>
      </c>
      <c r="AH288" s="14" t="s">
        <v>1149</v>
      </c>
      <c r="AI288" s="54">
        <v>0</v>
      </c>
      <c r="AJ288" s="54">
        <v>0</v>
      </c>
      <c r="AK288" s="54">
        <v>1</v>
      </c>
      <c r="AL288" s="54">
        <v>1</v>
      </c>
      <c r="AM288" s="54">
        <v>1</v>
      </c>
      <c r="AN288" s="14" t="s">
        <v>166</v>
      </c>
    </row>
    <row r="289" spans="1:40" ht="47.25" x14ac:dyDescent="0.25">
      <c r="A289" s="12" t="s">
        <v>1531</v>
      </c>
      <c r="B289" s="12" t="s">
        <v>1532</v>
      </c>
      <c r="C289" s="12" t="s">
        <v>1139</v>
      </c>
      <c r="D289" s="13" t="s">
        <v>30</v>
      </c>
      <c r="E289" s="13" t="s">
        <v>30</v>
      </c>
      <c r="F289" s="13">
        <v>213</v>
      </c>
      <c r="G289" s="13" t="s">
        <v>31</v>
      </c>
      <c r="H289" s="13" t="s">
        <v>516</v>
      </c>
      <c r="I289" s="12"/>
      <c r="J289" s="13">
        <v>686983031</v>
      </c>
      <c r="K289" s="13"/>
      <c r="L289" s="13" t="s">
        <v>517</v>
      </c>
      <c r="M289" s="14" t="s">
        <v>1074</v>
      </c>
      <c r="N289" s="13" t="s">
        <v>1069</v>
      </c>
      <c r="O289" s="12">
        <v>6</v>
      </c>
      <c r="P289" s="12" t="s">
        <v>174</v>
      </c>
      <c r="Q289" s="12" t="s">
        <v>868</v>
      </c>
      <c r="R289" s="12" t="s">
        <v>174</v>
      </c>
      <c r="S289" s="14" t="s">
        <v>166</v>
      </c>
      <c r="T289" s="12" t="s">
        <v>1110</v>
      </c>
      <c r="U289" s="14" t="s">
        <v>781</v>
      </c>
      <c r="V289" s="14"/>
      <c r="W289" s="14"/>
      <c r="X289" s="12"/>
      <c r="Y289" s="12"/>
      <c r="Z289" s="14"/>
      <c r="AA289" s="12"/>
      <c r="AB289" s="15"/>
      <c r="AC289" s="16" t="s">
        <v>111</v>
      </c>
      <c r="AD289" s="16">
        <v>1</v>
      </c>
      <c r="AE289" s="16">
        <v>0</v>
      </c>
      <c r="AF289" s="16">
        <v>0</v>
      </c>
      <c r="AG289" s="16">
        <v>0</v>
      </c>
      <c r="AH289" s="14" t="s">
        <v>1149</v>
      </c>
      <c r="AI289" s="54">
        <v>0</v>
      </c>
      <c r="AJ289" s="54">
        <v>1</v>
      </c>
      <c r="AK289" s="54">
        <v>1</v>
      </c>
      <c r="AL289" s="54">
        <v>1</v>
      </c>
      <c r="AM289" s="54">
        <v>1</v>
      </c>
      <c r="AN289" s="14" t="s">
        <v>166</v>
      </c>
    </row>
    <row r="290" spans="1:40" ht="189" x14ac:dyDescent="0.25">
      <c r="A290" s="12" t="s">
        <v>1533</v>
      </c>
      <c r="B290" s="12" t="s">
        <v>1534</v>
      </c>
      <c r="C290" s="12" t="s">
        <v>1139</v>
      </c>
      <c r="D290" s="13" t="s">
        <v>1143</v>
      </c>
      <c r="E290" s="13" t="s">
        <v>1142</v>
      </c>
      <c r="F290" s="13">
        <v>213</v>
      </c>
      <c r="G290" s="13" t="s">
        <v>34</v>
      </c>
      <c r="H290" s="13" t="s">
        <v>516</v>
      </c>
      <c r="I290" s="12"/>
      <c r="J290" s="13">
        <v>686983031</v>
      </c>
      <c r="K290" s="13"/>
      <c r="L290" s="13" t="s">
        <v>517</v>
      </c>
      <c r="M290" s="14" t="s">
        <v>1074</v>
      </c>
      <c r="N290" s="13" t="s">
        <v>1069</v>
      </c>
      <c r="O290" s="12">
        <v>6</v>
      </c>
      <c r="P290" s="12" t="s">
        <v>174</v>
      </c>
      <c r="Q290" s="12" t="s">
        <v>868</v>
      </c>
      <c r="R290" s="12" t="s">
        <v>174</v>
      </c>
      <c r="S290" s="14" t="s">
        <v>166</v>
      </c>
      <c r="T290" s="12" t="s">
        <v>1110</v>
      </c>
      <c r="U290" s="14" t="s">
        <v>781</v>
      </c>
      <c r="V290" s="14"/>
      <c r="W290" s="14"/>
      <c r="X290" s="12"/>
      <c r="Y290" s="12"/>
      <c r="Z290" s="14"/>
      <c r="AA290" s="12"/>
      <c r="AB290" s="15"/>
      <c r="AC290" s="16">
        <v>0</v>
      </c>
      <c r="AD290" s="16">
        <v>1</v>
      </c>
      <c r="AE290" s="16">
        <v>0</v>
      </c>
      <c r="AF290" s="16">
        <v>0</v>
      </c>
      <c r="AG290" s="16">
        <v>0</v>
      </c>
      <c r="AH290" s="14" t="s">
        <v>166</v>
      </c>
      <c r="AI290" s="54">
        <v>0</v>
      </c>
      <c r="AJ290" s="54">
        <v>1</v>
      </c>
      <c r="AK290" s="54">
        <v>1</v>
      </c>
      <c r="AL290" s="54">
        <v>1</v>
      </c>
      <c r="AM290" s="54">
        <v>1</v>
      </c>
      <c r="AN290" s="14" t="s">
        <v>166</v>
      </c>
    </row>
    <row r="291" spans="1:40" ht="63" x14ac:dyDescent="0.25">
      <c r="A291" s="12" t="s">
        <v>1535</v>
      </c>
      <c r="B291" s="12" t="s">
        <v>1536</v>
      </c>
      <c r="C291" s="12" t="s">
        <v>1139</v>
      </c>
      <c r="D291" s="13" t="s">
        <v>787</v>
      </c>
      <c r="E291" s="13" t="s">
        <v>37</v>
      </c>
      <c r="F291" s="13">
        <v>253</v>
      </c>
      <c r="G291" s="13" t="s">
        <v>55</v>
      </c>
      <c r="H291" s="13" t="s">
        <v>485</v>
      </c>
      <c r="I291" s="12"/>
      <c r="J291" s="13">
        <v>636196528</v>
      </c>
      <c r="K291" s="13"/>
      <c r="L291" s="13" t="s">
        <v>486</v>
      </c>
      <c r="M291" s="14" t="s">
        <v>1074</v>
      </c>
      <c r="N291" s="13" t="s">
        <v>1069</v>
      </c>
      <c r="O291" s="12" t="s">
        <v>53</v>
      </c>
      <c r="P291" s="12" t="s">
        <v>174</v>
      </c>
      <c r="Q291" s="12" t="s">
        <v>868</v>
      </c>
      <c r="R291" s="12" t="s">
        <v>174</v>
      </c>
      <c r="S291" s="14" t="s">
        <v>166</v>
      </c>
      <c r="T291" s="12" t="s">
        <v>1110</v>
      </c>
      <c r="U291" s="14" t="s">
        <v>781</v>
      </c>
      <c r="V291" s="14"/>
      <c r="W291" s="14"/>
      <c r="X291" s="12"/>
      <c r="Y291" s="12"/>
      <c r="Z291" s="14"/>
      <c r="AA291" s="12"/>
      <c r="AB291" s="15"/>
      <c r="AC291" s="16">
        <v>0</v>
      </c>
      <c r="AD291" s="16">
        <v>1</v>
      </c>
      <c r="AE291" s="16">
        <v>0</v>
      </c>
      <c r="AF291" s="16">
        <v>0</v>
      </c>
      <c r="AG291" s="16">
        <v>0</v>
      </c>
      <c r="AH291" s="14" t="s">
        <v>166</v>
      </c>
      <c r="AI291" s="54">
        <v>0</v>
      </c>
      <c r="AJ291" s="54">
        <v>1</v>
      </c>
      <c r="AK291" s="54">
        <v>1</v>
      </c>
      <c r="AL291" s="54">
        <v>0</v>
      </c>
      <c r="AM291" s="54">
        <v>0</v>
      </c>
      <c r="AN291" s="14" t="s">
        <v>166</v>
      </c>
    </row>
    <row r="292" spans="1:40" ht="63" x14ac:dyDescent="0.25">
      <c r="A292" s="12" t="s">
        <v>1537</v>
      </c>
      <c r="B292" s="12" t="s">
        <v>1538</v>
      </c>
      <c r="C292" s="12" t="s">
        <v>1139</v>
      </c>
      <c r="D292" s="13" t="s">
        <v>787</v>
      </c>
      <c r="E292" s="13" t="s">
        <v>1017</v>
      </c>
      <c r="F292" s="13">
        <v>230</v>
      </c>
      <c r="G292" s="13" t="s">
        <v>55</v>
      </c>
      <c r="H292" s="13" t="s">
        <v>476</v>
      </c>
      <c r="I292" s="12"/>
      <c r="J292" s="13">
        <v>686296859</v>
      </c>
      <c r="K292" s="13"/>
      <c r="L292" s="13" t="s">
        <v>477</v>
      </c>
      <c r="M292" s="14" t="s">
        <v>1074</v>
      </c>
      <c r="N292" s="13" t="s">
        <v>1069</v>
      </c>
      <c r="O292" s="12" t="s">
        <v>53</v>
      </c>
      <c r="P292" s="12" t="s">
        <v>1045</v>
      </c>
      <c r="Q292" s="12" t="s">
        <v>174</v>
      </c>
      <c r="R292" s="12" t="s">
        <v>174</v>
      </c>
      <c r="S292" s="14" t="s">
        <v>166</v>
      </c>
      <c r="T292" s="12" t="s">
        <v>1110</v>
      </c>
      <c r="U292" s="14" t="s">
        <v>781</v>
      </c>
      <c r="V292" s="14"/>
      <c r="W292" s="14"/>
      <c r="X292" s="12"/>
      <c r="Y292" s="12"/>
      <c r="Z292" s="14"/>
      <c r="AA292" s="12"/>
      <c r="AB292" s="15"/>
      <c r="AC292" s="16">
        <v>0</v>
      </c>
      <c r="AD292" s="16">
        <v>0</v>
      </c>
      <c r="AE292" s="16">
        <v>0</v>
      </c>
      <c r="AF292" s="16">
        <v>1</v>
      </c>
      <c r="AG292" s="16">
        <v>0</v>
      </c>
      <c r="AH292" s="14" t="s">
        <v>166</v>
      </c>
      <c r="AI292" s="54">
        <v>0</v>
      </c>
      <c r="AJ292" s="54">
        <v>0</v>
      </c>
      <c r="AK292" s="54">
        <v>1</v>
      </c>
      <c r="AL292" s="54">
        <v>1</v>
      </c>
      <c r="AM292" s="54">
        <v>1</v>
      </c>
      <c r="AN292" s="14" t="s">
        <v>166</v>
      </c>
    </row>
    <row r="293" spans="1:40" ht="63" x14ac:dyDescent="0.25">
      <c r="A293" s="12" t="s">
        <v>1537</v>
      </c>
      <c r="B293" s="12" t="s">
        <v>1538</v>
      </c>
      <c r="C293" s="12" t="s">
        <v>1139</v>
      </c>
      <c r="D293" s="13" t="s">
        <v>787</v>
      </c>
      <c r="E293" s="13" t="s">
        <v>1017</v>
      </c>
      <c r="F293" s="13">
        <v>1112</v>
      </c>
      <c r="G293" s="13" t="s">
        <v>55</v>
      </c>
      <c r="H293" s="13" t="s">
        <v>483</v>
      </c>
      <c r="I293" s="12"/>
      <c r="J293" s="13">
        <v>669828960</v>
      </c>
      <c r="K293" s="13"/>
      <c r="L293" s="13" t="s">
        <v>484</v>
      </c>
      <c r="M293" s="14" t="s">
        <v>1073</v>
      </c>
      <c r="N293" s="13" t="s">
        <v>1068</v>
      </c>
      <c r="O293" s="12">
        <v>2</v>
      </c>
      <c r="P293" s="12" t="s">
        <v>174</v>
      </c>
      <c r="Q293" s="12" t="s">
        <v>868</v>
      </c>
      <c r="R293" s="12" t="s">
        <v>174</v>
      </c>
      <c r="S293" s="14" t="s">
        <v>166</v>
      </c>
      <c r="T293" s="12" t="s">
        <v>1110</v>
      </c>
      <c r="U293" s="14" t="s">
        <v>780</v>
      </c>
      <c r="V293" s="14"/>
      <c r="W293" s="14"/>
      <c r="X293" s="12"/>
      <c r="Y293" s="12"/>
      <c r="Z293" s="14"/>
      <c r="AA293" s="12"/>
      <c r="AB293" s="15"/>
      <c r="AC293" s="16">
        <v>0</v>
      </c>
      <c r="AD293" s="16">
        <v>1</v>
      </c>
      <c r="AE293" s="16">
        <v>0</v>
      </c>
      <c r="AF293" s="16">
        <v>0</v>
      </c>
      <c r="AG293" s="16">
        <v>0</v>
      </c>
      <c r="AH293" s="14" t="s">
        <v>166</v>
      </c>
      <c r="AI293" s="54">
        <v>0</v>
      </c>
      <c r="AJ293" s="54">
        <v>1</v>
      </c>
      <c r="AK293" s="54">
        <v>1</v>
      </c>
      <c r="AL293" s="54">
        <v>1</v>
      </c>
      <c r="AM293" s="54">
        <v>0</v>
      </c>
      <c r="AN293" s="14" t="s">
        <v>166</v>
      </c>
    </row>
    <row r="294" spans="1:40" ht="189" x14ac:dyDescent="0.25">
      <c r="A294" s="12" t="s">
        <v>1539</v>
      </c>
      <c r="B294" s="12" t="s">
        <v>1540</v>
      </c>
      <c r="C294" s="12" t="s">
        <v>1139</v>
      </c>
      <c r="D294" s="13" t="s">
        <v>1143</v>
      </c>
      <c r="E294" s="13" t="s">
        <v>1144</v>
      </c>
      <c r="F294" s="13">
        <v>299</v>
      </c>
      <c r="G294" s="13" t="s">
        <v>55</v>
      </c>
      <c r="H294" s="13" t="s">
        <v>508</v>
      </c>
      <c r="I294" s="12"/>
      <c r="J294" s="13">
        <v>636196280</v>
      </c>
      <c r="K294" s="13"/>
      <c r="L294" s="13" t="s">
        <v>509</v>
      </c>
      <c r="M294" s="14" t="s">
        <v>1074</v>
      </c>
      <c r="N294" s="13" t="s">
        <v>1069</v>
      </c>
      <c r="O294" s="12">
        <v>6</v>
      </c>
      <c r="P294" s="12" t="s">
        <v>174</v>
      </c>
      <c r="Q294" s="12" t="s">
        <v>868</v>
      </c>
      <c r="R294" s="12" t="s">
        <v>174</v>
      </c>
      <c r="S294" s="14" t="s">
        <v>166</v>
      </c>
      <c r="T294" s="12" t="s">
        <v>1110</v>
      </c>
      <c r="U294" s="14" t="s">
        <v>781</v>
      </c>
      <c r="V294" s="14"/>
      <c r="W294" s="14"/>
      <c r="X294" s="12"/>
      <c r="Y294" s="12"/>
      <c r="Z294" s="14"/>
      <c r="AA294" s="12"/>
      <c r="AB294" s="15"/>
      <c r="AC294" s="16">
        <v>0</v>
      </c>
      <c r="AD294" s="16">
        <v>1</v>
      </c>
      <c r="AE294" s="16">
        <v>0</v>
      </c>
      <c r="AF294" s="16">
        <v>0</v>
      </c>
      <c r="AG294" s="16">
        <v>0</v>
      </c>
      <c r="AH294" s="14" t="s">
        <v>166</v>
      </c>
      <c r="AI294" s="54">
        <v>0</v>
      </c>
      <c r="AJ294" s="54">
        <v>1</v>
      </c>
      <c r="AK294" s="54">
        <v>1</v>
      </c>
      <c r="AL294" s="54">
        <v>1</v>
      </c>
      <c r="AM294" s="54">
        <v>1</v>
      </c>
      <c r="AN294" s="14" t="s">
        <v>166</v>
      </c>
    </row>
    <row r="295" spans="1:40" ht="63" x14ac:dyDescent="0.25">
      <c r="A295" s="12" t="s">
        <v>1541</v>
      </c>
      <c r="B295" s="12" t="s">
        <v>1542</v>
      </c>
      <c r="C295" s="12" t="s">
        <v>1139</v>
      </c>
      <c r="D295" s="13" t="s">
        <v>787</v>
      </c>
      <c r="E295" s="13" t="s">
        <v>1017</v>
      </c>
      <c r="F295" s="13">
        <v>90</v>
      </c>
      <c r="G295" s="13" t="s">
        <v>40</v>
      </c>
      <c r="H295" s="13" t="s">
        <v>470</v>
      </c>
      <c r="I295" s="12"/>
      <c r="J295" s="13">
        <v>680332989</v>
      </c>
      <c r="K295" s="13"/>
      <c r="L295" s="13" t="s">
        <v>471</v>
      </c>
      <c r="M295" s="14" t="s">
        <v>1074</v>
      </c>
      <c r="N295" s="13" t="s">
        <v>1069</v>
      </c>
      <c r="O295" s="12" t="s">
        <v>53</v>
      </c>
      <c r="P295" s="12" t="s">
        <v>1045</v>
      </c>
      <c r="Q295" s="12" t="s">
        <v>174</v>
      </c>
      <c r="R295" s="12" t="s">
        <v>174</v>
      </c>
      <c r="S295" s="14" t="s">
        <v>166</v>
      </c>
      <c r="T295" s="12" t="s">
        <v>1110</v>
      </c>
      <c r="U295" s="14" t="s">
        <v>781</v>
      </c>
      <c r="V295" s="14"/>
      <c r="W295" s="14"/>
      <c r="X295" s="12"/>
      <c r="Y295" s="12"/>
      <c r="Z295" s="14"/>
      <c r="AA295" s="12"/>
      <c r="AB295" s="15"/>
      <c r="AC295" s="16">
        <v>0</v>
      </c>
      <c r="AD295" s="16">
        <v>0</v>
      </c>
      <c r="AE295" s="16">
        <v>1</v>
      </c>
      <c r="AF295" s="16">
        <v>0</v>
      </c>
      <c r="AG295" s="16">
        <v>0</v>
      </c>
      <c r="AH295" s="14" t="s">
        <v>166</v>
      </c>
      <c r="AI295" s="54">
        <v>0</v>
      </c>
      <c r="AJ295" s="54">
        <v>0</v>
      </c>
      <c r="AK295" s="54">
        <v>1</v>
      </c>
      <c r="AL295" s="54">
        <v>0</v>
      </c>
      <c r="AM295" s="54">
        <v>0</v>
      </c>
      <c r="AN295" s="14" t="s">
        <v>166</v>
      </c>
    </row>
    <row r="296" spans="1:40" ht="189" x14ac:dyDescent="0.25">
      <c r="A296" s="12" t="s">
        <v>1543</v>
      </c>
      <c r="B296" s="12" t="s">
        <v>1544</v>
      </c>
      <c r="C296" s="12" t="s">
        <v>1139</v>
      </c>
      <c r="D296" s="13" t="s">
        <v>1143</v>
      </c>
      <c r="E296" s="13" t="s">
        <v>1144</v>
      </c>
      <c r="F296" s="13">
        <v>738</v>
      </c>
      <c r="G296" s="13" t="s">
        <v>40</v>
      </c>
      <c r="H296" s="13" t="s">
        <v>510</v>
      </c>
      <c r="I296" s="12"/>
      <c r="J296" s="13">
        <v>682861374</v>
      </c>
      <c r="K296" s="13"/>
      <c r="L296" s="13" t="s">
        <v>511</v>
      </c>
      <c r="M296" s="14" t="s">
        <v>1074</v>
      </c>
      <c r="N296" s="13" t="s">
        <v>1069</v>
      </c>
      <c r="O296" s="12">
        <v>6</v>
      </c>
      <c r="P296" s="12" t="s">
        <v>1045</v>
      </c>
      <c r="Q296" s="12" t="s">
        <v>868</v>
      </c>
      <c r="R296" s="12" t="s">
        <v>174</v>
      </c>
      <c r="S296" s="14" t="s">
        <v>166</v>
      </c>
      <c r="T296" s="12" t="s">
        <v>174</v>
      </c>
      <c r="U296" s="14" t="s">
        <v>781</v>
      </c>
      <c r="V296" s="14"/>
      <c r="W296" s="14"/>
      <c r="X296" s="12"/>
      <c r="Y296" s="12"/>
      <c r="Z296" s="14"/>
      <c r="AA296" s="12"/>
      <c r="AB296" s="15"/>
      <c r="AC296" s="16">
        <v>0</v>
      </c>
      <c r="AD296" s="16">
        <v>0</v>
      </c>
      <c r="AE296" s="16">
        <v>1</v>
      </c>
      <c r="AF296" s="16">
        <v>0</v>
      </c>
      <c r="AG296" s="16">
        <v>0</v>
      </c>
      <c r="AH296" s="14" t="s">
        <v>166</v>
      </c>
      <c r="AI296" s="54">
        <v>0</v>
      </c>
      <c r="AJ296" s="54">
        <v>0</v>
      </c>
      <c r="AK296" s="54">
        <v>1</v>
      </c>
      <c r="AL296" s="54">
        <v>0</v>
      </c>
      <c r="AM296" s="54">
        <v>0</v>
      </c>
      <c r="AN296" s="14" t="s">
        <v>166</v>
      </c>
    </row>
    <row r="297" spans="1:40" ht="63" x14ac:dyDescent="0.25">
      <c r="A297" s="12" t="s">
        <v>1545</v>
      </c>
      <c r="B297" s="12" t="s">
        <v>1546</v>
      </c>
      <c r="C297" s="12" t="s">
        <v>1139</v>
      </c>
      <c r="D297" s="13" t="s">
        <v>787</v>
      </c>
      <c r="E297" s="13" t="s">
        <v>1017</v>
      </c>
      <c r="F297" s="13">
        <v>102</v>
      </c>
      <c r="G297" s="13" t="s">
        <v>41</v>
      </c>
      <c r="H297" s="13" t="s">
        <v>472</v>
      </c>
      <c r="I297" s="12"/>
      <c r="J297" s="13">
        <v>638095765</v>
      </c>
      <c r="K297" s="13"/>
      <c r="L297" s="13" t="s">
        <v>473</v>
      </c>
      <c r="M297" s="14" t="s">
        <v>1074</v>
      </c>
      <c r="N297" s="13" t="s">
        <v>1069</v>
      </c>
      <c r="O297" s="12" t="s">
        <v>53</v>
      </c>
      <c r="P297" s="12" t="s">
        <v>174</v>
      </c>
      <c r="Q297" s="12" t="s">
        <v>868</v>
      </c>
      <c r="R297" s="12" t="s">
        <v>174</v>
      </c>
      <c r="S297" s="14" t="s">
        <v>166</v>
      </c>
      <c r="T297" s="12" t="s">
        <v>1110</v>
      </c>
      <c r="U297" s="14" t="s">
        <v>781</v>
      </c>
      <c r="V297" s="14"/>
      <c r="W297" s="14"/>
      <c r="X297" s="12"/>
      <c r="Y297" s="12"/>
      <c r="Z297" s="14"/>
      <c r="AA297" s="12"/>
      <c r="AB297" s="15"/>
      <c r="AC297" s="16">
        <v>0</v>
      </c>
      <c r="AD297" s="16">
        <v>0</v>
      </c>
      <c r="AE297" s="16">
        <v>1</v>
      </c>
      <c r="AF297" s="16">
        <v>0</v>
      </c>
      <c r="AG297" s="16">
        <v>0</v>
      </c>
      <c r="AH297" s="14" t="s">
        <v>166</v>
      </c>
      <c r="AI297" s="54">
        <v>0</v>
      </c>
      <c r="AJ297" s="54">
        <v>0</v>
      </c>
      <c r="AK297" s="54">
        <v>1</v>
      </c>
      <c r="AL297" s="54">
        <v>0</v>
      </c>
      <c r="AM297" s="54">
        <v>0</v>
      </c>
      <c r="AN297" s="14" t="s">
        <v>166</v>
      </c>
    </row>
    <row r="298" spans="1:40" ht="63" x14ac:dyDescent="0.25">
      <c r="A298" s="12" t="s">
        <v>1545</v>
      </c>
      <c r="B298" s="12" t="s">
        <v>1546</v>
      </c>
      <c r="C298" s="12" t="s">
        <v>1139</v>
      </c>
      <c r="D298" s="13" t="s">
        <v>787</v>
      </c>
      <c r="E298" s="13" t="s">
        <v>1017</v>
      </c>
      <c r="F298" s="13">
        <v>326</v>
      </c>
      <c r="G298" s="13" t="s">
        <v>41</v>
      </c>
      <c r="H298" s="13" t="s">
        <v>478</v>
      </c>
      <c r="I298" s="12"/>
      <c r="J298" s="13">
        <v>629694452</v>
      </c>
      <c r="K298" s="13"/>
      <c r="L298" s="13" t="s">
        <v>479</v>
      </c>
      <c r="M298" s="14" t="s">
        <v>1074</v>
      </c>
      <c r="N298" s="13" t="s">
        <v>1069</v>
      </c>
      <c r="O298" s="12" t="s">
        <v>53</v>
      </c>
      <c r="P298" s="12" t="s">
        <v>174</v>
      </c>
      <c r="Q298" s="12" t="s">
        <v>868</v>
      </c>
      <c r="R298" s="12" t="s">
        <v>174</v>
      </c>
      <c r="S298" s="14" t="s">
        <v>166</v>
      </c>
      <c r="T298" s="12" t="s">
        <v>1110</v>
      </c>
      <c r="U298" s="14" t="s">
        <v>781</v>
      </c>
      <c r="V298" s="14"/>
      <c r="W298" s="14"/>
      <c r="X298" s="12"/>
      <c r="Y298" s="12"/>
      <c r="Z298" s="14"/>
      <c r="AA298" s="12"/>
      <c r="AB298" s="15"/>
      <c r="AC298" s="16">
        <v>0</v>
      </c>
      <c r="AD298" s="16">
        <v>0</v>
      </c>
      <c r="AE298" s="16">
        <v>1</v>
      </c>
      <c r="AF298" s="16">
        <v>0</v>
      </c>
      <c r="AG298" s="16">
        <v>0</v>
      </c>
      <c r="AH298" s="14" t="s">
        <v>166</v>
      </c>
      <c r="AI298" s="54">
        <v>0</v>
      </c>
      <c r="AJ298" s="54">
        <v>0</v>
      </c>
      <c r="AK298" s="54">
        <v>1</v>
      </c>
      <c r="AL298" s="54">
        <v>0</v>
      </c>
      <c r="AM298" s="54">
        <v>0</v>
      </c>
      <c r="AN298" s="14" t="s">
        <v>166</v>
      </c>
    </row>
    <row r="299" spans="1:40" ht="189" x14ac:dyDescent="0.25">
      <c r="A299" s="12" t="s">
        <v>1547</v>
      </c>
      <c r="B299" s="12" t="s">
        <v>1548</v>
      </c>
      <c r="C299" s="12" t="s">
        <v>1139</v>
      </c>
      <c r="D299" s="13" t="s">
        <v>1143</v>
      </c>
      <c r="E299" s="13" t="s">
        <v>1144</v>
      </c>
      <c r="F299" s="13">
        <v>938</v>
      </c>
      <c r="G299" s="13" t="s">
        <v>41</v>
      </c>
      <c r="H299" s="13" t="s">
        <v>512</v>
      </c>
      <c r="I299" s="12"/>
      <c r="J299" s="13">
        <v>682865508</v>
      </c>
      <c r="K299" s="13"/>
      <c r="L299" s="13" t="s">
        <v>513</v>
      </c>
      <c r="M299" s="14" t="s">
        <v>1074</v>
      </c>
      <c r="N299" s="13" t="s">
        <v>1069</v>
      </c>
      <c r="O299" s="12">
        <v>6</v>
      </c>
      <c r="P299" s="12" t="s">
        <v>174</v>
      </c>
      <c r="Q299" s="12" t="s">
        <v>868</v>
      </c>
      <c r="R299" s="12" t="s">
        <v>174</v>
      </c>
      <c r="S299" s="14" t="s">
        <v>166</v>
      </c>
      <c r="T299" s="12" t="s">
        <v>174</v>
      </c>
      <c r="U299" s="14" t="s">
        <v>781</v>
      </c>
      <c r="V299" s="14"/>
      <c r="W299" s="14"/>
      <c r="X299" s="12"/>
      <c r="Y299" s="12"/>
      <c r="Z299" s="14"/>
      <c r="AA299" s="12"/>
      <c r="AB299" s="15"/>
      <c r="AC299" s="16">
        <v>0</v>
      </c>
      <c r="AD299" s="16">
        <v>0</v>
      </c>
      <c r="AE299" s="16">
        <v>1</v>
      </c>
      <c r="AF299" s="16">
        <v>0</v>
      </c>
      <c r="AG299" s="16">
        <v>0</v>
      </c>
      <c r="AH299" s="14" t="s">
        <v>166</v>
      </c>
      <c r="AI299" s="54">
        <v>0</v>
      </c>
      <c r="AJ299" s="54">
        <v>0</v>
      </c>
      <c r="AK299" s="54">
        <v>0</v>
      </c>
      <c r="AL299" s="54">
        <v>1</v>
      </c>
      <c r="AM299" s="54">
        <v>0</v>
      </c>
      <c r="AN299" s="14" t="s">
        <v>166</v>
      </c>
    </row>
    <row r="300" spans="1:40" ht="189" x14ac:dyDescent="0.25">
      <c r="A300" s="12" t="s">
        <v>1547</v>
      </c>
      <c r="B300" s="12" t="s">
        <v>1548</v>
      </c>
      <c r="C300" s="12" t="s">
        <v>1139</v>
      </c>
      <c r="D300" s="13" t="s">
        <v>1143</v>
      </c>
      <c r="E300" s="13" t="s">
        <v>1144</v>
      </c>
      <c r="F300" s="13">
        <v>5341</v>
      </c>
      <c r="G300" s="13" t="s">
        <v>41</v>
      </c>
      <c r="H300" s="13" t="s">
        <v>919</v>
      </c>
      <c r="I300" s="12"/>
      <c r="J300" s="13">
        <v>686962395</v>
      </c>
      <c r="K300" s="13"/>
      <c r="L300" s="13" t="s">
        <v>920</v>
      </c>
      <c r="M300" s="14" t="s">
        <v>1074</v>
      </c>
      <c r="N300" s="13" t="s">
        <v>1069</v>
      </c>
      <c r="O300" s="12">
        <v>6</v>
      </c>
      <c r="P300" s="12" t="s">
        <v>174</v>
      </c>
      <c r="Q300" s="12" t="s">
        <v>868</v>
      </c>
      <c r="R300" s="12" t="s">
        <v>174</v>
      </c>
      <c r="S300" s="14" t="s">
        <v>166</v>
      </c>
      <c r="T300" s="12" t="s">
        <v>1110</v>
      </c>
      <c r="U300" s="14" t="s">
        <v>781</v>
      </c>
      <c r="V300" s="14"/>
      <c r="W300" s="14"/>
      <c r="X300" s="12"/>
      <c r="Y300" s="12"/>
      <c r="Z300" s="14"/>
      <c r="AA300" s="12"/>
      <c r="AB300" s="15"/>
      <c r="AC300" s="16">
        <v>0</v>
      </c>
      <c r="AD300" s="16">
        <v>0</v>
      </c>
      <c r="AE300" s="16">
        <v>0</v>
      </c>
      <c r="AF300" s="16">
        <v>0</v>
      </c>
      <c r="AG300" s="16">
        <v>0</v>
      </c>
      <c r="AH300" s="14" t="s">
        <v>174</v>
      </c>
      <c r="AI300" s="54">
        <v>0</v>
      </c>
      <c r="AJ300" s="54">
        <v>0</v>
      </c>
      <c r="AK300" s="54">
        <v>0</v>
      </c>
      <c r="AL300" s="54">
        <v>0</v>
      </c>
      <c r="AM300" s="54">
        <v>0</v>
      </c>
      <c r="AN300" s="14" t="s">
        <v>174</v>
      </c>
    </row>
    <row r="301" spans="1:40" ht="63" x14ac:dyDescent="0.25">
      <c r="A301" s="12" t="s">
        <v>1549</v>
      </c>
      <c r="B301" s="12" t="s">
        <v>1550</v>
      </c>
      <c r="C301" s="12" t="s">
        <v>1139</v>
      </c>
      <c r="D301" s="13" t="s">
        <v>787</v>
      </c>
      <c r="E301" s="13" t="s">
        <v>1017</v>
      </c>
      <c r="F301" s="13">
        <v>43</v>
      </c>
      <c r="G301" s="13" t="s">
        <v>45</v>
      </c>
      <c r="H301" s="13" t="s">
        <v>474</v>
      </c>
      <c r="I301" s="12"/>
      <c r="J301" s="13">
        <v>669353530</v>
      </c>
      <c r="K301" s="13"/>
      <c r="L301" s="13" t="s">
        <v>475</v>
      </c>
      <c r="M301" s="14" t="s">
        <v>1074</v>
      </c>
      <c r="N301" s="13" t="s">
        <v>1069</v>
      </c>
      <c r="O301" s="12" t="s">
        <v>53</v>
      </c>
      <c r="P301" s="12" t="s">
        <v>1045</v>
      </c>
      <c r="Q301" s="12" t="s">
        <v>174</v>
      </c>
      <c r="R301" s="12" t="s">
        <v>174</v>
      </c>
      <c r="S301" s="14" t="s">
        <v>166</v>
      </c>
      <c r="T301" s="12" t="s">
        <v>1110</v>
      </c>
      <c r="U301" s="14" t="s">
        <v>781</v>
      </c>
      <c r="V301" s="14"/>
      <c r="W301" s="14"/>
      <c r="X301" s="12"/>
      <c r="Y301" s="12"/>
      <c r="Z301" s="14"/>
      <c r="AA301" s="12"/>
      <c r="AB301" s="15"/>
      <c r="AC301" s="16">
        <v>0</v>
      </c>
      <c r="AD301" s="16">
        <v>0</v>
      </c>
      <c r="AE301" s="16">
        <v>1</v>
      </c>
      <c r="AF301" s="16">
        <v>0</v>
      </c>
      <c r="AG301" s="16">
        <v>0</v>
      </c>
      <c r="AH301" s="14" t="s">
        <v>166</v>
      </c>
      <c r="AI301" s="54">
        <v>0</v>
      </c>
      <c r="AJ301" s="54">
        <v>0</v>
      </c>
      <c r="AK301" s="54">
        <v>1</v>
      </c>
      <c r="AL301" s="54">
        <v>0</v>
      </c>
      <c r="AM301" s="54">
        <v>0</v>
      </c>
      <c r="AN301" s="14" t="s">
        <v>166</v>
      </c>
    </row>
    <row r="302" spans="1:40" ht="63" x14ac:dyDescent="0.25">
      <c r="A302" s="12" t="s">
        <v>1549</v>
      </c>
      <c r="B302" s="12" t="s">
        <v>1550</v>
      </c>
      <c r="C302" s="12" t="s">
        <v>1139</v>
      </c>
      <c r="D302" s="13" t="s">
        <v>787</v>
      </c>
      <c r="E302" s="13" t="s">
        <v>1017</v>
      </c>
      <c r="F302" s="13">
        <v>1111</v>
      </c>
      <c r="G302" s="13" t="s">
        <v>45</v>
      </c>
      <c r="H302" s="13" t="s">
        <v>481</v>
      </c>
      <c r="I302" s="12"/>
      <c r="J302" s="13">
        <v>686622230</v>
      </c>
      <c r="K302" s="13"/>
      <c r="L302" s="13" t="s">
        <v>482</v>
      </c>
      <c r="M302" s="14" t="s">
        <v>1073</v>
      </c>
      <c r="N302" s="13" t="s">
        <v>1068</v>
      </c>
      <c r="O302" s="12">
        <v>2</v>
      </c>
      <c r="P302" s="12" t="s">
        <v>174</v>
      </c>
      <c r="Q302" s="12" t="s">
        <v>868</v>
      </c>
      <c r="R302" s="12" t="s">
        <v>174</v>
      </c>
      <c r="S302" s="14" t="s">
        <v>166</v>
      </c>
      <c r="T302" s="12" t="s">
        <v>1110</v>
      </c>
      <c r="U302" s="14" t="s">
        <v>780</v>
      </c>
      <c r="V302" s="14"/>
      <c r="W302" s="14"/>
      <c r="X302" s="12"/>
      <c r="Y302" s="12"/>
      <c r="Z302" s="14"/>
      <c r="AA302" s="12"/>
      <c r="AB302" s="15"/>
      <c r="AC302" s="16">
        <v>0</v>
      </c>
      <c r="AD302" s="16">
        <v>0</v>
      </c>
      <c r="AE302" s="16">
        <v>1</v>
      </c>
      <c r="AF302" s="16">
        <v>0</v>
      </c>
      <c r="AG302" s="16">
        <v>0</v>
      </c>
      <c r="AH302" s="14" t="s">
        <v>166</v>
      </c>
      <c r="AI302" s="54">
        <v>0</v>
      </c>
      <c r="AJ302" s="54">
        <v>0</v>
      </c>
      <c r="AK302" s="54">
        <v>1</v>
      </c>
      <c r="AL302" s="54">
        <v>0</v>
      </c>
      <c r="AM302" s="54">
        <v>0</v>
      </c>
      <c r="AN302" s="14" t="s">
        <v>166</v>
      </c>
    </row>
    <row r="303" spans="1:40" ht="63" x14ac:dyDescent="0.25">
      <c r="A303" s="12" t="s">
        <v>1549</v>
      </c>
      <c r="B303" s="12" t="s">
        <v>1550</v>
      </c>
      <c r="C303" s="12" t="s">
        <v>1139</v>
      </c>
      <c r="D303" s="13" t="s">
        <v>787</v>
      </c>
      <c r="E303" s="13" t="s">
        <v>1017</v>
      </c>
      <c r="F303" s="13">
        <v>906</v>
      </c>
      <c r="G303" s="13" t="s">
        <v>45</v>
      </c>
      <c r="H303" s="13" t="s">
        <v>480</v>
      </c>
      <c r="I303" s="12"/>
      <c r="J303" s="13">
        <v>682548936</v>
      </c>
      <c r="K303" s="13"/>
      <c r="L303" s="13" t="s">
        <v>833</v>
      </c>
      <c r="M303" s="14" t="s">
        <v>1074</v>
      </c>
      <c r="N303" s="13" t="s">
        <v>1069</v>
      </c>
      <c r="O303" s="12" t="s">
        <v>53</v>
      </c>
      <c r="P303" s="12" t="s">
        <v>174</v>
      </c>
      <c r="Q303" s="12" t="s">
        <v>868</v>
      </c>
      <c r="R303" s="12" t="s">
        <v>174</v>
      </c>
      <c r="S303" s="14" t="s">
        <v>166</v>
      </c>
      <c r="T303" s="12" t="s">
        <v>1110</v>
      </c>
      <c r="U303" s="14" t="s">
        <v>781</v>
      </c>
      <c r="V303" s="14"/>
      <c r="W303" s="14"/>
      <c r="X303" s="12"/>
      <c r="Y303" s="12"/>
      <c r="Z303" s="14"/>
      <c r="AA303" s="12"/>
      <c r="AB303" s="15"/>
      <c r="AC303" s="16">
        <v>0</v>
      </c>
      <c r="AD303" s="16">
        <v>0</v>
      </c>
      <c r="AE303" s="16">
        <v>0</v>
      </c>
      <c r="AF303" s="16">
        <v>0</v>
      </c>
      <c r="AG303" s="16">
        <v>1</v>
      </c>
      <c r="AH303" s="14" t="s">
        <v>166</v>
      </c>
      <c r="AI303" s="54">
        <v>0</v>
      </c>
      <c r="AJ303" s="54">
        <v>0</v>
      </c>
      <c r="AK303" s="54">
        <v>0</v>
      </c>
      <c r="AL303" s="54">
        <v>0</v>
      </c>
      <c r="AM303" s="54">
        <v>1</v>
      </c>
      <c r="AN303" s="14" t="s">
        <v>166</v>
      </c>
    </row>
    <row r="304" spans="1:40" ht="63" x14ac:dyDescent="0.25">
      <c r="A304" s="12" t="s">
        <v>1549</v>
      </c>
      <c r="B304" s="12" t="s">
        <v>1550</v>
      </c>
      <c r="C304" s="12" t="s">
        <v>1139</v>
      </c>
      <c r="D304" s="13" t="s">
        <v>787</v>
      </c>
      <c r="E304" s="13" t="s">
        <v>1017</v>
      </c>
      <c r="F304" s="13">
        <v>2466</v>
      </c>
      <c r="G304" s="13" t="s">
        <v>45</v>
      </c>
      <c r="H304" s="13" t="s">
        <v>489</v>
      </c>
      <c r="I304" s="12"/>
      <c r="J304" s="13">
        <v>647666017</v>
      </c>
      <c r="K304" s="13"/>
      <c r="L304" s="13" t="s">
        <v>490</v>
      </c>
      <c r="M304" s="14" t="s">
        <v>153</v>
      </c>
      <c r="N304" s="13" t="s">
        <v>152</v>
      </c>
      <c r="O304" s="12" t="s">
        <v>53</v>
      </c>
      <c r="P304" s="12" t="s">
        <v>174</v>
      </c>
      <c r="Q304" s="12" t="s">
        <v>868</v>
      </c>
      <c r="R304" s="12" t="s">
        <v>174</v>
      </c>
      <c r="S304" s="14" t="s">
        <v>166</v>
      </c>
      <c r="T304" s="12" t="s">
        <v>1110</v>
      </c>
      <c r="U304" s="14" t="s">
        <v>782</v>
      </c>
      <c r="V304" s="14"/>
      <c r="W304" s="14"/>
      <c r="X304" s="12"/>
      <c r="Y304" s="12"/>
      <c r="Z304" s="14"/>
      <c r="AA304" s="12"/>
      <c r="AB304" s="15"/>
      <c r="AC304" s="16">
        <v>0</v>
      </c>
      <c r="AD304" s="16">
        <v>0</v>
      </c>
      <c r="AE304" s="16">
        <v>1</v>
      </c>
      <c r="AF304" s="16">
        <v>0</v>
      </c>
      <c r="AG304" s="16">
        <v>0</v>
      </c>
      <c r="AH304" s="14" t="s">
        <v>166</v>
      </c>
      <c r="AI304" s="54">
        <v>0</v>
      </c>
      <c r="AJ304" s="54">
        <v>0</v>
      </c>
      <c r="AK304" s="54">
        <v>1</v>
      </c>
      <c r="AL304" s="54">
        <v>0</v>
      </c>
      <c r="AM304" s="54">
        <v>1</v>
      </c>
      <c r="AN304" s="14" t="s">
        <v>166</v>
      </c>
    </row>
    <row r="305" spans="1:40" ht="63" x14ac:dyDescent="0.25">
      <c r="A305" s="12" t="s">
        <v>1549</v>
      </c>
      <c r="B305" s="12" t="s">
        <v>1550</v>
      </c>
      <c r="C305" s="12" t="s">
        <v>1139</v>
      </c>
      <c r="D305" s="13" t="s">
        <v>787</v>
      </c>
      <c r="E305" s="13" t="s">
        <v>1017</v>
      </c>
      <c r="F305" s="13">
        <v>2443</v>
      </c>
      <c r="G305" s="13" t="s">
        <v>45</v>
      </c>
      <c r="H305" s="13" t="s">
        <v>487</v>
      </c>
      <c r="I305" s="12"/>
      <c r="J305" s="13">
        <v>639594926</v>
      </c>
      <c r="K305" s="13"/>
      <c r="L305" s="13" t="s">
        <v>488</v>
      </c>
      <c r="M305" s="14" t="s">
        <v>153</v>
      </c>
      <c r="N305" s="13" t="s">
        <v>152</v>
      </c>
      <c r="O305" s="12" t="s">
        <v>53</v>
      </c>
      <c r="P305" s="12" t="s">
        <v>174</v>
      </c>
      <c r="Q305" s="12" t="s">
        <v>868</v>
      </c>
      <c r="R305" s="12" t="s">
        <v>174</v>
      </c>
      <c r="S305" s="14" t="s">
        <v>166</v>
      </c>
      <c r="T305" s="12" t="s">
        <v>1110</v>
      </c>
      <c r="U305" s="14" t="s">
        <v>782</v>
      </c>
      <c r="V305" s="14"/>
      <c r="W305" s="14"/>
      <c r="X305" s="12"/>
      <c r="Y305" s="12"/>
      <c r="Z305" s="14"/>
      <c r="AA305" s="12"/>
      <c r="AB305" s="15"/>
      <c r="AC305" s="16">
        <v>0</v>
      </c>
      <c r="AD305" s="16">
        <v>0</v>
      </c>
      <c r="AE305" s="16">
        <v>1</v>
      </c>
      <c r="AF305" s="16">
        <v>0</v>
      </c>
      <c r="AG305" s="16">
        <v>0</v>
      </c>
      <c r="AH305" s="14" t="s">
        <v>166</v>
      </c>
      <c r="AI305" s="54">
        <v>0</v>
      </c>
      <c r="AJ305" s="54">
        <v>0</v>
      </c>
      <c r="AK305" s="54">
        <v>1</v>
      </c>
      <c r="AL305" s="54">
        <v>0</v>
      </c>
      <c r="AM305" s="54">
        <v>0</v>
      </c>
      <c r="AN305" s="14" t="s">
        <v>166</v>
      </c>
    </row>
    <row r="306" spans="1:40" ht="189" x14ac:dyDescent="0.25">
      <c r="A306" s="12" t="s">
        <v>1551</v>
      </c>
      <c r="B306" s="12" t="s">
        <v>1552</v>
      </c>
      <c r="C306" s="12" t="s">
        <v>1139</v>
      </c>
      <c r="D306" s="13" t="s">
        <v>1143</v>
      </c>
      <c r="E306" s="13" t="s">
        <v>1144</v>
      </c>
      <c r="F306" s="13">
        <v>154</v>
      </c>
      <c r="G306" s="13" t="s">
        <v>45</v>
      </c>
      <c r="H306" s="13" t="s">
        <v>539</v>
      </c>
      <c r="I306" s="12"/>
      <c r="J306" s="13">
        <v>646181254</v>
      </c>
      <c r="K306" s="13"/>
      <c r="L306" s="13" t="s">
        <v>540</v>
      </c>
      <c r="M306" s="14" t="s">
        <v>1074</v>
      </c>
      <c r="N306" s="13" t="s">
        <v>1069</v>
      </c>
      <c r="O306" s="12">
        <v>6</v>
      </c>
      <c r="P306" s="12" t="s">
        <v>174</v>
      </c>
      <c r="Q306" s="12" t="s">
        <v>868</v>
      </c>
      <c r="R306" s="12" t="s">
        <v>174</v>
      </c>
      <c r="S306" s="14" t="s">
        <v>166</v>
      </c>
      <c r="T306" s="12" t="s">
        <v>1110</v>
      </c>
      <c r="U306" s="14" t="s">
        <v>781</v>
      </c>
      <c r="V306" s="14"/>
      <c r="W306" s="14"/>
      <c r="X306" s="12"/>
      <c r="Y306" s="12"/>
      <c r="Z306" s="14"/>
      <c r="AA306" s="12"/>
      <c r="AB306" s="15"/>
      <c r="AC306" s="16">
        <v>0</v>
      </c>
      <c r="AD306" s="16">
        <v>1</v>
      </c>
      <c r="AE306" s="16">
        <v>0</v>
      </c>
      <c r="AF306" s="16">
        <v>0</v>
      </c>
      <c r="AG306" s="16">
        <v>0</v>
      </c>
      <c r="AH306" s="14" t="s">
        <v>166</v>
      </c>
      <c r="AI306" s="54">
        <v>0</v>
      </c>
      <c r="AJ306" s="54">
        <v>0</v>
      </c>
      <c r="AK306" s="54">
        <v>1</v>
      </c>
      <c r="AL306" s="54">
        <v>0</v>
      </c>
      <c r="AM306" s="54">
        <v>0</v>
      </c>
      <c r="AN306" s="14" t="s">
        <v>166</v>
      </c>
    </row>
    <row r="307" spans="1:40" ht="189" x14ac:dyDescent="0.25">
      <c r="A307" s="12" t="s">
        <v>1553</v>
      </c>
      <c r="B307" s="12" t="s">
        <v>1554</v>
      </c>
      <c r="C307" s="12" t="s">
        <v>1139</v>
      </c>
      <c r="D307" s="13" t="s">
        <v>1143</v>
      </c>
      <c r="E307" s="13" t="s">
        <v>1144</v>
      </c>
      <c r="F307" s="13">
        <v>4183</v>
      </c>
      <c r="G307" s="13" t="s">
        <v>35</v>
      </c>
      <c r="H307" s="13" t="s">
        <v>514</v>
      </c>
      <c r="I307" s="12"/>
      <c r="J307" s="13">
        <v>683170952</v>
      </c>
      <c r="K307" s="13"/>
      <c r="L307" s="13" t="s">
        <v>515</v>
      </c>
      <c r="M307" s="14" t="s">
        <v>1073</v>
      </c>
      <c r="N307" s="13" t="s">
        <v>1068</v>
      </c>
      <c r="O307" s="12">
        <v>6</v>
      </c>
      <c r="P307" s="12" t="s">
        <v>174</v>
      </c>
      <c r="Q307" s="12" t="s">
        <v>868</v>
      </c>
      <c r="R307" s="12" t="s">
        <v>174</v>
      </c>
      <c r="S307" s="14" t="s">
        <v>166</v>
      </c>
      <c r="T307" s="12" t="s">
        <v>1110</v>
      </c>
      <c r="U307" s="14" t="s">
        <v>780</v>
      </c>
      <c r="V307" s="14"/>
      <c r="W307" s="14"/>
      <c r="X307" s="12"/>
      <c r="Y307" s="12"/>
      <c r="Z307" s="14"/>
      <c r="AA307" s="12"/>
      <c r="AB307" s="15"/>
      <c r="AC307" s="16">
        <v>0</v>
      </c>
      <c r="AD307" s="16">
        <v>0</v>
      </c>
      <c r="AE307" s="16">
        <v>0</v>
      </c>
      <c r="AF307" s="16">
        <v>1</v>
      </c>
      <c r="AG307" s="16">
        <v>0</v>
      </c>
      <c r="AH307" s="14" t="s">
        <v>166</v>
      </c>
      <c r="AI307" s="54">
        <v>0</v>
      </c>
      <c r="AJ307" s="54">
        <v>0</v>
      </c>
      <c r="AK307" s="54">
        <v>0</v>
      </c>
      <c r="AL307" s="54">
        <v>0</v>
      </c>
      <c r="AM307" s="54">
        <v>0</v>
      </c>
      <c r="AN307" s="14" t="s">
        <v>174</v>
      </c>
    </row>
    <row r="308" spans="1:40" ht="47.25" x14ac:dyDescent="0.25">
      <c r="A308" s="12" t="s">
        <v>1555</v>
      </c>
      <c r="B308" s="12" t="s">
        <v>1556</v>
      </c>
      <c r="C308" s="12" t="s">
        <v>1137</v>
      </c>
      <c r="D308" s="13" t="s">
        <v>26</v>
      </c>
      <c r="E308" s="13" t="s">
        <v>26</v>
      </c>
      <c r="F308" s="13">
        <v>1027</v>
      </c>
      <c r="G308" s="13" t="s">
        <v>27</v>
      </c>
      <c r="H308" s="13" t="s">
        <v>586</v>
      </c>
      <c r="I308" s="12"/>
      <c r="J308" s="13">
        <v>629227217</v>
      </c>
      <c r="K308" s="13"/>
      <c r="L308" s="13" t="s">
        <v>587</v>
      </c>
      <c r="M308" s="14" t="s">
        <v>1073</v>
      </c>
      <c r="N308" s="13" t="s">
        <v>1068</v>
      </c>
      <c r="O308" s="12" t="s">
        <v>53</v>
      </c>
      <c r="P308" s="12" t="s">
        <v>174</v>
      </c>
      <c r="Q308" s="12" t="s">
        <v>868</v>
      </c>
      <c r="R308" s="12" t="s">
        <v>174</v>
      </c>
      <c r="S308" s="14" t="s">
        <v>166</v>
      </c>
      <c r="T308" s="12" t="s">
        <v>1110</v>
      </c>
      <c r="U308" s="14" t="s">
        <v>780</v>
      </c>
      <c r="V308" s="14"/>
      <c r="W308" s="14"/>
      <c r="X308" s="12"/>
      <c r="Y308" s="12"/>
      <c r="Z308" s="14"/>
      <c r="AA308" s="12"/>
      <c r="AB308" s="15"/>
      <c r="AC308" s="16" t="s">
        <v>111</v>
      </c>
      <c r="AD308" s="16" t="s">
        <v>111</v>
      </c>
      <c r="AE308" s="16" t="s">
        <v>111</v>
      </c>
      <c r="AF308" s="16" t="s">
        <v>111</v>
      </c>
      <c r="AG308" s="16" t="s">
        <v>111</v>
      </c>
      <c r="AH308" s="14" t="s">
        <v>1149</v>
      </c>
      <c r="AI308" s="54">
        <v>0</v>
      </c>
      <c r="AJ308" s="54">
        <v>0</v>
      </c>
      <c r="AK308" s="54">
        <v>0</v>
      </c>
      <c r="AL308" s="54">
        <v>0</v>
      </c>
      <c r="AM308" s="54">
        <v>1</v>
      </c>
      <c r="AN308" s="14" t="s">
        <v>166</v>
      </c>
    </row>
    <row r="309" spans="1:40" ht="47.25" x14ac:dyDescent="0.25">
      <c r="A309" s="12" t="s">
        <v>1557</v>
      </c>
      <c r="B309" s="12" t="s">
        <v>1558</v>
      </c>
      <c r="C309" s="12" t="s">
        <v>1137</v>
      </c>
      <c r="D309" s="13" t="s">
        <v>28</v>
      </c>
      <c r="E309" s="13" t="s">
        <v>28</v>
      </c>
      <c r="F309" s="13">
        <v>1666</v>
      </c>
      <c r="G309" s="13" t="s">
        <v>29</v>
      </c>
      <c r="H309" s="13" t="s">
        <v>600</v>
      </c>
      <c r="I309" s="12"/>
      <c r="J309" s="13">
        <v>630080968</v>
      </c>
      <c r="K309" s="13"/>
      <c r="L309" s="13" t="s">
        <v>601</v>
      </c>
      <c r="M309" s="14" t="s">
        <v>1073</v>
      </c>
      <c r="N309" s="13" t="s">
        <v>1068</v>
      </c>
      <c r="O309" s="12">
        <v>3</v>
      </c>
      <c r="P309" s="12" t="s">
        <v>174</v>
      </c>
      <c r="Q309" s="12" t="s">
        <v>868</v>
      </c>
      <c r="R309" s="12" t="s">
        <v>174</v>
      </c>
      <c r="S309" s="14" t="s">
        <v>166</v>
      </c>
      <c r="T309" s="12" t="s">
        <v>1110</v>
      </c>
      <c r="U309" s="14" t="s">
        <v>780</v>
      </c>
      <c r="V309" s="14"/>
      <c r="W309" s="14"/>
      <c r="X309" s="12"/>
      <c r="Y309" s="12"/>
      <c r="Z309" s="14"/>
      <c r="AA309" s="12"/>
      <c r="AB309" s="15"/>
      <c r="AC309" s="16" t="s">
        <v>111</v>
      </c>
      <c r="AD309" s="16">
        <v>0</v>
      </c>
      <c r="AE309" s="16">
        <v>0</v>
      </c>
      <c r="AF309" s="16">
        <v>1</v>
      </c>
      <c r="AG309" s="16">
        <v>0</v>
      </c>
      <c r="AH309" s="14" t="s">
        <v>1149</v>
      </c>
      <c r="AI309" s="54">
        <v>0</v>
      </c>
      <c r="AJ309" s="54">
        <v>0</v>
      </c>
      <c r="AK309" s="54">
        <v>0</v>
      </c>
      <c r="AL309" s="54">
        <v>1</v>
      </c>
      <c r="AM309" s="54">
        <v>1</v>
      </c>
      <c r="AN309" s="14" t="s">
        <v>166</v>
      </c>
    </row>
    <row r="310" spans="1:40" ht="47.25" x14ac:dyDescent="0.25">
      <c r="A310" s="12" t="s">
        <v>1559</v>
      </c>
      <c r="B310" s="12" t="s">
        <v>1560</v>
      </c>
      <c r="C310" s="12" t="s">
        <v>1137</v>
      </c>
      <c r="D310" s="13" t="s">
        <v>30</v>
      </c>
      <c r="E310" s="13" t="s">
        <v>30</v>
      </c>
      <c r="F310" s="13">
        <v>1825</v>
      </c>
      <c r="G310" s="13" t="s">
        <v>31</v>
      </c>
      <c r="H310" s="13" t="s">
        <v>596</v>
      </c>
      <c r="I310" s="12"/>
      <c r="J310" s="13">
        <v>649791721</v>
      </c>
      <c r="K310" s="13"/>
      <c r="L310" s="13" t="s">
        <v>597</v>
      </c>
      <c r="M310" s="14" t="s">
        <v>1073</v>
      </c>
      <c r="N310" s="13" t="s">
        <v>1068</v>
      </c>
      <c r="O310" s="12">
        <v>3</v>
      </c>
      <c r="P310" s="12" t="s">
        <v>174</v>
      </c>
      <c r="Q310" s="12" t="s">
        <v>868</v>
      </c>
      <c r="R310" s="12" t="s">
        <v>174</v>
      </c>
      <c r="S310" s="14" t="s">
        <v>166</v>
      </c>
      <c r="T310" s="12" t="s">
        <v>1110</v>
      </c>
      <c r="U310" s="14" t="s">
        <v>780</v>
      </c>
      <c r="V310" s="14"/>
      <c r="W310" s="14"/>
      <c r="X310" s="12"/>
      <c r="Y310" s="12"/>
      <c r="Z310" s="14"/>
      <c r="AA310" s="12"/>
      <c r="AB310" s="15"/>
      <c r="AC310" s="16" t="s">
        <v>111</v>
      </c>
      <c r="AD310" s="16">
        <v>1</v>
      </c>
      <c r="AE310" s="16">
        <v>0</v>
      </c>
      <c r="AF310" s="16">
        <v>0</v>
      </c>
      <c r="AG310" s="16">
        <v>0</v>
      </c>
      <c r="AH310" s="14" t="s">
        <v>1149</v>
      </c>
      <c r="AI310" s="54">
        <v>1</v>
      </c>
      <c r="AJ310" s="54">
        <v>1</v>
      </c>
      <c r="AK310" s="54">
        <v>1</v>
      </c>
      <c r="AL310" s="54">
        <v>1</v>
      </c>
      <c r="AM310" s="54">
        <v>1</v>
      </c>
      <c r="AN310" s="14" t="s">
        <v>166</v>
      </c>
    </row>
    <row r="311" spans="1:40" ht="47.25" x14ac:dyDescent="0.25">
      <c r="A311" s="12" t="s">
        <v>1561</v>
      </c>
      <c r="B311" s="12" t="s">
        <v>1562</v>
      </c>
      <c r="C311" s="12" t="s">
        <v>1137</v>
      </c>
      <c r="D311" s="13" t="s">
        <v>112</v>
      </c>
      <c r="E311" s="13" t="s">
        <v>800</v>
      </c>
      <c r="F311" s="13">
        <v>1825</v>
      </c>
      <c r="G311" s="13" t="s">
        <v>40</v>
      </c>
      <c r="H311" s="13" t="s">
        <v>596</v>
      </c>
      <c r="I311" s="12"/>
      <c r="J311" s="13">
        <v>649791721</v>
      </c>
      <c r="K311" s="13"/>
      <c r="L311" s="13" t="s">
        <v>597</v>
      </c>
      <c r="M311" s="14" t="s">
        <v>1073</v>
      </c>
      <c r="N311" s="13" t="s">
        <v>1068</v>
      </c>
      <c r="O311" s="12">
        <v>3</v>
      </c>
      <c r="P311" s="12" t="s">
        <v>174</v>
      </c>
      <c r="Q311" s="12" t="s">
        <v>868</v>
      </c>
      <c r="R311" s="12" t="s">
        <v>174</v>
      </c>
      <c r="S311" s="14" t="s">
        <v>166</v>
      </c>
      <c r="T311" s="12" t="s">
        <v>1110</v>
      </c>
      <c r="U311" s="14" t="s">
        <v>780</v>
      </c>
      <c r="V311" s="14"/>
      <c r="W311" s="14"/>
      <c r="X311" s="12"/>
      <c r="Y311" s="12"/>
      <c r="Z311" s="14"/>
      <c r="AA311" s="12"/>
      <c r="AB311" s="15"/>
      <c r="AC311" s="16">
        <v>1</v>
      </c>
      <c r="AD311" s="16">
        <v>1</v>
      </c>
      <c r="AE311" s="16">
        <v>0</v>
      </c>
      <c r="AF311" s="16">
        <v>0</v>
      </c>
      <c r="AG311" s="16">
        <v>0</v>
      </c>
      <c r="AH311" s="14" t="s">
        <v>166</v>
      </c>
      <c r="AI311" s="54">
        <v>1</v>
      </c>
      <c r="AJ311" s="54">
        <v>1</v>
      </c>
      <c r="AK311" s="54">
        <v>1</v>
      </c>
      <c r="AL311" s="54">
        <v>1</v>
      </c>
      <c r="AM311" s="54">
        <v>1</v>
      </c>
      <c r="AN311" s="14" t="s">
        <v>166</v>
      </c>
    </row>
    <row r="312" spans="1:40" ht="47.25" x14ac:dyDescent="0.25">
      <c r="A312" s="12" t="s">
        <v>1561</v>
      </c>
      <c r="B312" s="12" t="s">
        <v>1562</v>
      </c>
      <c r="C312" s="12" t="s">
        <v>1137</v>
      </c>
      <c r="D312" s="13" t="s">
        <v>112</v>
      </c>
      <c r="E312" s="13" t="s">
        <v>800</v>
      </c>
      <c r="F312" s="13">
        <v>16</v>
      </c>
      <c r="G312" s="13" t="s">
        <v>40</v>
      </c>
      <c r="H312" s="13" t="s">
        <v>594</v>
      </c>
      <c r="I312" s="12"/>
      <c r="J312" s="13">
        <v>649334945</v>
      </c>
      <c r="K312" s="13"/>
      <c r="L312" s="13" t="s">
        <v>595</v>
      </c>
      <c r="M312" s="14" t="s">
        <v>1074</v>
      </c>
      <c r="N312" s="13" t="s">
        <v>1069</v>
      </c>
      <c r="O312" s="12" t="s">
        <v>53</v>
      </c>
      <c r="P312" s="12" t="s">
        <v>174</v>
      </c>
      <c r="Q312" s="12" t="s">
        <v>868</v>
      </c>
      <c r="R312" s="12" t="s">
        <v>174</v>
      </c>
      <c r="S312" s="14" t="s">
        <v>166</v>
      </c>
      <c r="T312" s="12" t="s">
        <v>1110</v>
      </c>
      <c r="U312" s="14" t="s">
        <v>781</v>
      </c>
      <c r="V312" s="14"/>
      <c r="W312" s="14"/>
      <c r="X312" s="12"/>
      <c r="Y312" s="12"/>
      <c r="Z312" s="14"/>
      <c r="AA312" s="12"/>
      <c r="AB312" s="15"/>
      <c r="AC312" s="16">
        <v>0</v>
      </c>
      <c r="AD312" s="16">
        <v>1</v>
      </c>
      <c r="AE312" s="16">
        <v>0</v>
      </c>
      <c r="AF312" s="16">
        <v>0</v>
      </c>
      <c r="AG312" s="16">
        <v>0</v>
      </c>
      <c r="AH312" s="14" t="s">
        <v>166</v>
      </c>
      <c r="AI312" s="54">
        <v>0</v>
      </c>
      <c r="AJ312" s="54">
        <v>1</v>
      </c>
      <c r="AK312" s="54">
        <v>0</v>
      </c>
      <c r="AL312" s="54">
        <v>0</v>
      </c>
      <c r="AM312" s="54">
        <v>1</v>
      </c>
      <c r="AN312" s="14" t="s">
        <v>166</v>
      </c>
    </row>
    <row r="313" spans="1:40" ht="47.25" x14ac:dyDescent="0.25">
      <c r="A313" s="12" t="s">
        <v>1561</v>
      </c>
      <c r="B313" s="12" t="s">
        <v>1562</v>
      </c>
      <c r="C313" s="12" t="s">
        <v>1137</v>
      </c>
      <c r="D313" s="13" t="s">
        <v>112</v>
      </c>
      <c r="E313" s="13" t="s">
        <v>800</v>
      </c>
      <c r="F313" s="13">
        <v>160</v>
      </c>
      <c r="G313" s="13" t="s">
        <v>40</v>
      </c>
      <c r="H313" s="13" t="s">
        <v>602</v>
      </c>
      <c r="I313" s="12"/>
      <c r="J313" s="13">
        <v>629714393</v>
      </c>
      <c r="K313" s="13"/>
      <c r="L313" s="13" t="s">
        <v>603</v>
      </c>
      <c r="M313" s="14" t="s">
        <v>1074</v>
      </c>
      <c r="N313" s="13" t="s">
        <v>1069</v>
      </c>
      <c r="O313" s="12" t="s">
        <v>53</v>
      </c>
      <c r="P313" s="12" t="s">
        <v>174</v>
      </c>
      <c r="Q313" s="12" t="s">
        <v>868</v>
      </c>
      <c r="R313" s="12" t="s">
        <v>174</v>
      </c>
      <c r="S313" s="14" t="s">
        <v>166</v>
      </c>
      <c r="T313" s="12" t="s">
        <v>1110</v>
      </c>
      <c r="U313" s="14" t="s">
        <v>781</v>
      </c>
      <c r="V313" s="14"/>
      <c r="W313" s="14"/>
      <c r="X313" s="12"/>
      <c r="Y313" s="12"/>
      <c r="Z313" s="14"/>
      <c r="AA313" s="12"/>
      <c r="AB313" s="15"/>
      <c r="AC313" s="16">
        <v>0</v>
      </c>
      <c r="AD313" s="16">
        <v>0</v>
      </c>
      <c r="AE313" s="16">
        <v>1</v>
      </c>
      <c r="AF313" s="16">
        <v>0</v>
      </c>
      <c r="AG313" s="16">
        <v>0</v>
      </c>
      <c r="AH313" s="14" t="s">
        <v>166</v>
      </c>
      <c r="AI313" s="54">
        <v>0</v>
      </c>
      <c r="AJ313" s="54">
        <v>0</v>
      </c>
      <c r="AK313" s="54">
        <v>1</v>
      </c>
      <c r="AL313" s="54">
        <v>0</v>
      </c>
      <c r="AM313" s="54">
        <v>0</v>
      </c>
      <c r="AN313" s="14" t="s">
        <v>166</v>
      </c>
    </row>
    <row r="314" spans="1:40" ht="47.25" x14ac:dyDescent="0.25">
      <c r="A314" s="12" t="s">
        <v>1563</v>
      </c>
      <c r="B314" s="12" t="s">
        <v>1564</v>
      </c>
      <c r="C314" s="12" t="s">
        <v>1137</v>
      </c>
      <c r="D314" s="13" t="s">
        <v>113</v>
      </c>
      <c r="E314" s="13" t="s">
        <v>799</v>
      </c>
      <c r="F314" s="13">
        <v>909</v>
      </c>
      <c r="G314" s="13" t="s">
        <v>45</v>
      </c>
      <c r="H314" s="13" t="s">
        <v>592</v>
      </c>
      <c r="I314" s="12"/>
      <c r="J314" s="13">
        <v>659567759</v>
      </c>
      <c r="K314" s="13"/>
      <c r="L314" s="13" t="s">
        <v>593</v>
      </c>
      <c r="M314" s="14" t="s">
        <v>1073</v>
      </c>
      <c r="N314" s="13" t="s">
        <v>1068</v>
      </c>
      <c r="O314" s="12" t="s">
        <v>53</v>
      </c>
      <c r="P314" s="12" t="s">
        <v>174</v>
      </c>
      <c r="Q314" s="12" t="s">
        <v>868</v>
      </c>
      <c r="R314" s="12" t="s">
        <v>174</v>
      </c>
      <c r="S314" s="14" t="s">
        <v>166</v>
      </c>
      <c r="T314" s="12" t="s">
        <v>1110</v>
      </c>
      <c r="U314" s="14" t="s">
        <v>780</v>
      </c>
      <c r="V314" s="14"/>
      <c r="W314" s="14"/>
      <c r="X314" s="12"/>
      <c r="Y314" s="12"/>
      <c r="Z314" s="14"/>
      <c r="AA314" s="12"/>
      <c r="AB314" s="15"/>
      <c r="AC314" s="16">
        <v>0</v>
      </c>
      <c r="AD314" s="16">
        <v>0</v>
      </c>
      <c r="AE314" s="16">
        <v>1</v>
      </c>
      <c r="AF314" s="16">
        <v>0</v>
      </c>
      <c r="AG314" s="16">
        <v>0</v>
      </c>
      <c r="AH314" s="14" t="s">
        <v>166</v>
      </c>
      <c r="AI314" s="54">
        <v>0</v>
      </c>
      <c r="AJ314" s="54">
        <v>0</v>
      </c>
      <c r="AK314" s="54">
        <v>1</v>
      </c>
      <c r="AL314" s="54">
        <v>0</v>
      </c>
      <c r="AM314" s="54">
        <v>1</v>
      </c>
      <c r="AN314" s="14" t="s">
        <v>166</v>
      </c>
    </row>
    <row r="315" spans="1:40" ht="47.25" x14ac:dyDescent="0.25">
      <c r="A315" s="12" t="s">
        <v>1563</v>
      </c>
      <c r="B315" s="12" t="s">
        <v>1564</v>
      </c>
      <c r="C315" s="12" t="s">
        <v>1137</v>
      </c>
      <c r="D315" s="13" t="s">
        <v>113</v>
      </c>
      <c r="E315" s="13" t="s">
        <v>799</v>
      </c>
      <c r="F315" s="13">
        <v>385</v>
      </c>
      <c r="G315" s="13" t="s">
        <v>45</v>
      </c>
      <c r="H315" s="13" t="s">
        <v>590</v>
      </c>
      <c r="I315" s="12"/>
      <c r="J315" s="13">
        <v>636609700</v>
      </c>
      <c r="K315" s="13"/>
      <c r="L315" s="13" t="s">
        <v>591</v>
      </c>
      <c r="M315" s="14" t="s">
        <v>1074</v>
      </c>
      <c r="N315" s="13" t="s">
        <v>1069</v>
      </c>
      <c r="O315" s="12" t="s">
        <v>53</v>
      </c>
      <c r="P315" s="12" t="s">
        <v>174</v>
      </c>
      <c r="Q315" s="12" t="s">
        <v>868</v>
      </c>
      <c r="R315" s="12" t="s">
        <v>174</v>
      </c>
      <c r="S315" s="14" t="s">
        <v>166</v>
      </c>
      <c r="T315" s="12" t="s">
        <v>1110</v>
      </c>
      <c r="U315" s="14" t="s">
        <v>781</v>
      </c>
      <c r="V315" s="14"/>
      <c r="W315" s="14"/>
      <c r="X315" s="12"/>
      <c r="Y315" s="12"/>
      <c r="Z315" s="14"/>
      <c r="AA315" s="12"/>
      <c r="AB315" s="15"/>
      <c r="AC315" s="16">
        <v>0</v>
      </c>
      <c r="AD315" s="16">
        <v>1</v>
      </c>
      <c r="AE315" s="16">
        <v>0</v>
      </c>
      <c r="AF315" s="16">
        <v>0</v>
      </c>
      <c r="AG315" s="16">
        <v>0</v>
      </c>
      <c r="AH315" s="14" t="s">
        <v>166</v>
      </c>
      <c r="AI315" s="54">
        <v>0</v>
      </c>
      <c r="AJ315" s="54">
        <v>1</v>
      </c>
      <c r="AK315" s="54">
        <v>0</v>
      </c>
      <c r="AL315" s="54">
        <v>0</v>
      </c>
      <c r="AM315" s="54">
        <v>1</v>
      </c>
      <c r="AN315" s="14" t="s">
        <v>166</v>
      </c>
    </row>
    <row r="316" spans="1:40" ht="47.25" x14ac:dyDescent="0.25">
      <c r="A316" s="12" t="s">
        <v>1565</v>
      </c>
      <c r="B316" s="12" t="s">
        <v>1566</v>
      </c>
      <c r="C316" s="12" t="s">
        <v>1137</v>
      </c>
      <c r="D316" s="13" t="s">
        <v>112</v>
      </c>
      <c r="E316" s="13" t="s">
        <v>800</v>
      </c>
      <c r="F316" s="13">
        <v>1666</v>
      </c>
      <c r="G316" s="13" t="s">
        <v>35</v>
      </c>
      <c r="H316" s="13" t="s">
        <v>600</v>
      </c>
      <c r="I316" s="12"/>
      <c r="J316" s="13">
        <v>630080968</v>
      </c>
      <c r="K316" s="13"/>
      <c r="L316" s="13" t="s">
        <v>601</v>
      </c>
      <c r="M316" s="14" t="s">
        <v>1073</v>
      </c>
      <c r="N316" s="13" t="s">
        <v>1068</v>
      </c>
      <c r="O316" s="12">
        <v>3</v>
      </c>
      <c r="P316" s="12" t="s">
        <v>174</v>
      </c>
      <c r="Q316" s="12" t="s">
        <v>868</v>
      </c>
      <c r="R316" s="12" t="s">
        <v>174</v>
      </c>
      <c r="S316" s="14" t="s">
        <v>166</v>
      </c>
      <c r="T316" s="12" t="s">
        <v>1110</v>
      </c>
      <c r="U316" s="14" t="s">
        <v>780</v>
      </c>
      <c r="V316" s="14"/>
      <c r="W316" s="14"/>
      <c r="X316" s="12"/>
      <c r="Y316" s="12"/>
      <c r="Z316" s="14"/>
      <c r="AA316" s="12"/>
      <c r="AB316" s="15"/>
      <c r="AC316" s="16">
        <v>0</v>
      </c>
      <c r="AD316" s="16">
        <v>0</v>
      </c>
      <c r="AE316" s="16">
        <v>0</v>
      </c>
      <c r="AF316" s="16">
        <v>1</v>
      </c>
      <c r="AG316" s="16">
        <v>0</v>
      </c>
      <c r="AH316" s="14" t="s">
        <v>166</v>
      </c>
      <c r="AI316" s="54">
        <v>0</v>
      </c>
      <c r="AJ316" s="54">
        <v>0</v>
      </c>
      <c r="AK316" s="54">
        <v>0</v>
      </c>
      <c r="AL316" s="54">
        <v>1</v>
      </c>
      <c r="AM316" s="54">
        <v>1</v>
      </c>
      <c r="AN316" s="14" t="s">
        <v>166</v>
      </c>
    </row>
    <row r="317" spans="1:40" ht="47.25" x14ac:dyDescent="0.25">
      <c r="A317" s="12" t="s">
        <v>1565</v>
      </c>
      <c r="B317" s="12" t="s">
        <v>1566</v>
      </c>
      <c r="C317" s="12" t="s">
        <v>1137</v>
      </c>
      <c r="D317" s="13" t="s">
        <v>112</v>
      </c>
      <c r="E317" s="13" t="s">
        <v>800</v>
      </c>
      <c r="F317" s="13">
        <v>2350</v>
      </c>
      <c r="G317" s="13" t="s">
        <v>35</v>
      </c>
      <c r="H317" s="13" t="s">
        <v>598</v>
      </c>
      <c r="I317" s="12"/>
      <c r="J317" s="13">
        <v>699487873</v>
      </c>
      <c r="K317" s="13"/>
      <c r="L317" s="13" t="s">
        <v>599</v>
      </c>
      <c r="M317" s="14" t="s">
        <v>153</v>
      </c>
      <c r="N317" s="13" t="s">
        <v>152</v>
      </c>
      <c r="O317" s="12" t="s">
        <v>114</v>
      </c>
      <c r="P317" s="12" t="s">
        <v>174</v>
      </c>
      <c r="Q317" s="12" t="s">
        <v>868</v>
      </c>
      <c r="R317" s="12" t="s">
        <v>174</v>
      </c>
      <c r="S317" s="14" t="s">
        <v>166</v>
      </c>
      <c r="T317" s="12" t="s">
        <v>1110</v>
      </c>
      <c r="U317" s="14" t="s">
        <v>782</v>
      </c>
      <c r="V317" s="14"/>
      <c r="W317" s="14"/>
      <c r="X317" s="12"/>
      <c r="Y317" s="12"/>
      <c r="Z317" s="14"/>
      <c r="AA317" s="12"/>
      <c r="AB317" s="15"/>
      <c r="AC317" s="16">
        <v>0</v>
      </c>
      <c r="AD317" s="16">
        <v>0</v>
      </c>
      <c r="AE317" s="16">
        <v>0</v>
      </c>
      <c r="AF317" s="16">
        <v>1</v>
      </c>
      <c r="AG317" s="16">
        <v>0</v>
      </c>
      <c r="AH317" s="14" t="s">
        <v>166</v>
      </c>
      <c r="AI317" s="54">
        <v>0</v>
      </c>
      <c r="AJ317" s="54">
        <v>0</v>
      </c>
      <c r="AK317" s="54">
        <v>0</v>
      </c>
      <c r="AL317" s="54">
        <v>1</v>
      </c>
      <c r="AM317" s="54">
        <v>0</v>
      </c>
      <c r="AN317" s="14" t="s">
        <v>166</v>
      </c>
    </row>
    <row r="318" spans="1:40" ht="47.25" x14ac:dyDescent="0.25">
      <c r="A318" s="12" t="s">
        <v>1567</v>
      </c>
      <c r="B318" s="12" t="s">
        <v>1568</v>
      </c>
      <c r="C318" s="12" t="s">
        <v>1137</v>
      </c>
      <c r="D318" s="13" t="s">
        <v>113</v>
      </c>
      <c r="E318" s="13" t="s">
        <v>799</v>
      </c>
      <c r="F318" s="13">
        <v>126</v>
      </c>
      <c r="G318" s="13" t="s">
        <v>35</v>
      </c>
      <c r="H318" s="13" t="s">
        <v>588</v>
      </c>
      <c r="I318" s="12"/>
      <c r="J318" s="13">
        <v>699066993</v>
      </c>
      <c r="K318" s="13"/>
      <c r="L318" s="13" t="s">
        <v>589</v>
      </c>
      <c r="M318" s="14" t="s">
        <v>1074</v>
      </c>
      <c r="N318" s="13" t="s">
        <v>1069</v>
      </c>
      <c r="O318" s="12" t="s">
        <v>53</v>
      </c>
      <c r="P318" s="12" t="s">
        <v>174</v>
      </c>
      <c r="Q318" s="12" t="s">
        <v>868</v>
      </c>
      <c r="R318" s="12" t="s">
        <v>174</v>
      </c>
      <c r="S318" s="14" t="s">
        <v>166</v>
      </c>
      <c r="T318" s="12" t="s">
        <v>1110</v>
      </c>
      <c r="U318" s="14" t="s">
        <v>781</v>
      </c>
      <c r="V318" s="14"/>
      <c r="W318" s="14"/>
      <c r="X318" s="12"/>
      <c r="Y318" s="12"/>
      <c r="Z318" s="14"/>
      <c r="AA318" s="12"/>
      <c r="AB318" s="15"/>
      <c r="AC318" s="16">
        <v>0</v>
      </c>
      <c r="AD318" s="16">
        <v>0</v>
      </c>
      <c r="AE318" s="16">
        <v>1</v>
      </c>
      <c r="AF318" s="16">
        <v>0</v>
      </c>
      <c r="AG318" s="16">
        <v>0</v>
      </c>
      <c r="AH318" s="14" t="s">
        <v>166</v>
      </c>
      <c r="AI318" s="54">
        <v>0</v>
      </c>
      <c r="AJ318" s="54">
        <v>0</v>
      </c>
      <c r="AK318" s="54">
        <v>1</v>
      </c>
      <c r="AL318" s="54">
        <v>0</v>
      </c>
      <c r="AM318" s="54">
        <v>1</v>
      </c>
      <c r="AN318" s="14" t="s">
        <v>166</v>
      </c>
    </row>
    <row r="319" spans="1:40" ht="47.25" x14ac:dyDescent="0.25">
      <c r="A319" s="12" t="s">
        <v>1567</v>
      </c>
      <c r="B319" s="12" t="s">
        <v>1568</v>
      </c>
      <c r="C319" s="12" t="s">
        <v>1137</v>
      </c>
      <c r="D319" s="13" t="s">
        <v>113</v>
      </c>
      <c r="E319" s="13" t="s">
        <v>799</v>
      </c>
      <c r="F319" s="13">
        <v>6646</v>
      </c>
      <c r="G319" s="13" t="s">
        <v>35</v>
      </c>
      <c r="H319" s="13" t="s">
        <v>1040</v>
      </c>
      <c r="I319" s="12"/>
      <c r="J319" s="13">
        <v>636561383</v>
      </c>
      <c r="K319" s="13"/>
      <c r="L319" s="13" t="s">
        <v>1062</v>
      </c>
      <c r="M319" s="14" t="s">
        <v>1073</v>
      </c>
      <c r="N319" s="13" t="s">
        <v>1068</v>
      </c>
      <c r="O319" s="12" t="s">
        <v>53</v>
      </c>
      <c r="P319" s="12" t="s">
        <v>174</v>
      </c>
      <c r="Q319" s="12" t="s">
        <v>868</v>
      </c>
      <c r="R319" s="12" t="s">
        <v>174</v>
      </c>
      <c r="S319" s="14" t="s">
        <v>166</v>
      </c>
      <c r="T319" s="12" t="s">
        <v>1199</v>
      </c>
      <c r="U319" s="14" t="s">
        <v>780</v>
      </c>
      <c r="V319" s="14"/>
      <c r="W319" s="14"/>
      <c r="X319" s="12"/>
      <c r="Y319" s="12"/>
      <c r="Z319" s="14"/>
      <c r="AA319" s="12"/>
      <c r="AB319" s="15"/>
      <c r="AC319" s="16">
        <v>0</v>
      </c>
      <c r="AD319" s="16">
        <v>0</v>
      </c>
      <c r="AE319" s="16">
        <v>0</v>
      </c>
      <c r="AF319" s="16">
        <v>0</v>
      </c>
      <c r="AG319" s="16">
        <v>0</v>
      </c>
      <c r="AH319" s="14" t="s">
        <v>174</v>
      </c>
      <c r="AI319" s="54">
        <v>0</v>
      </c>
      <c r="AJ319" s="54">
        <v>0</v>
      </c>
      <c r="AK319" s="54">
        <v>1</v>
      </c>
      <c r="AL319" s="54">
        <v>0</v>
      </c>
      <c r="AM319" s="54">
        <v>1</v>
      </c>
      <c r="AN319" s="14" t="s">
        <v>166</v>
      </c>
    </row>
    <row r="320" spans="1:40" ht="47.25" x14ac:dyDescent="0.25">
      <c r="A320" s="12" t="s">
        <v>1569</v>
      </c>
      <c r="B320" s="12" t="s">
        <v>1570</v>
      </c>
      <c r="C320" s="12" t="s">
        <v>1130</v>
      </c>
      <c r="D320" s="13" t="s">
        <v>26</v>
      </c>
      <c r="E320" s="13" t="s">
        <v>26</v>
      </c>
      <c r="F320" s="13">
        <v>2010</v>
      </c>
      <c r="G320" s="13" t="s">
        <v>27</v>
      </c>
      <c r="H320" s="13" t="s">
        <v>398</v>
      </c>
      <c r="I320" s="12"/>
      <c r="J320" s="13">
        <v>649294008</v>
      </c>
      <c r="K320" s="13"/>
      <c r="L320" s="13" t="s">
        <v>399</v>
      </c>
      <c r="M320" s="14" t="s">
        <v>1073</v>
      </c>
      <c r="N320" s="13" t="s">
        <v>1068</v>
      </c>
      <c r="O320" s="12">
        <v>1</v>
      </c>
      <c r="P320" s="12" t="s">
        <v>174</v>
      </c>
      <c r="Q320" s="12" t="s">
        <v>174</v>
      </c>
      <c r="R320" s="12" t="s">
        <v>867</v>
      </c>
      <c r="S320" s="14" t="s">
        <v>166</v>
      </c>
      <c r="T320" s="12" t="s">
        <v>1110</v>
      </c>
      <c r="U320" s="14" t="s">
        <v>780</v>
      </c>
      <c r="V320" s="14"/>
      <c r="W320" s="14"/>
      <c r="X320" s="12"/>
      <c r="Y320" s="12"/>
      <c r="Z320" s="14"/>
      <c r="AA320" s="12"/>
      <c r="AB320" s="15"/>
      <c r="AC320" s="16" t="s">
        <v>111</v>
      </c>
      <c r="AD320" s="16" t="s">
        <v>111</v>
      </c>
      <c r="AE320" s="16" t="s">
        <v>111</v>
      </c>
      <c r="AF320" s="16" t="s">
        <v>111</v>
      </c>
      <c r="AG320" s="16" t="s">
        <v>111</v>
      </c>
      <c r="AH320" s="14" t="s">
        <v>1149</v>
      </c>
      <c r="AI320" s="54">
        <v>0</v>
      </c>
      <c r="AJ320" s="54">
        <v>0</v>
      </c>
      <c r="AK320" s="54">
        <v>0</v>
      </c>
      <c r="AL320" s="54">
        <v>0</v>
      </c>
      <c r="AM320" s="54">
        <v>0</v>
      </c>
      <c r="AN320" s="14" t="s">
        <v>174</v>
      </c>
    </row>
    <row r="321" spans="1:40" ht="47.25" x14ac:dyDescent="0.25">
      <c r="A321" s="12" t="s">
        <v>1571</v>
      </c>
      <c r="B321" s="12" t="s">
        <v>1572</v>
      </c>
      <c r="C321" s="12" t="s">
        <v>1130</v>
      </c>
      <c r="D321" s="13" t="s">
        <v>28</v>
      </c>
      <c r="E321" s="13" t="s">
        <v>28</v>
      </c>
      <c r="F321" s="13">
        <v>1429</v>
      </c>
      <c r="G321" s="13" t="s">
        <v>29</v>
      </c>
      <c r="H321" s="13" t="s">
        <v>420</v>
      </c>
      <c r="I321" s="12"/>
      <c r="J321" s="13">
        <v>671504879</v>
      </c>
      <c r="K321" s="13"/>
      <c r="L321" s="13" t="s">
        <v>421</v>
      </c>
      <c r="M321" s="14" t="s">
        <v>1073</v>
      </c>
      <c r="N321" s="13" t="s">
        <v>1068</v>
      </c>
      <c r="O321" s="12">
        <v>1</v>
      </c>
      <c r="P321" s="12" t="s">
        <v>174</v>
      </c>
      <c r="Q321" s="12" t="s">
        <v>868</v>
      </c>
      <c r="R321" s="12" t="s">
        <v>174</v>
      </c>
      <c r="S321" s="14" t="s">
        <v>166</v>
      </c>
      <c r="T321" s="12" t="s">
        <v>1110</v>
      </c>
      <c r="U321" s="14" t="s">
        <v>780</v>
      </c>
      <c r="V321" s="14"/>
      <c r="W321" s="14"/>
      <c r="X321" s="12"/>
      <c r="Y321" s="12"/>
      <c r="Z321" s="14"/>
      <c r="AA321" s="12"/>
      <c r="AB321" s="15"/>
      <c r="AC321" s="16" t="s">
        <v>111</v>
      </c>
      <c r="AD321" s="16" t="s">
        <v>111</v>
      </c>
      <c r="AE321" s="16" t="s">
        <v>111</v>
      </c>
      <c r="AF321" s="16" t="s">
        <v>111</v>
      </c>
      <c r="AG321" s="16">
        <v>0</v>
      </c>
      <c r="AH321" s="14" t="s">
        <v>1149</v>
      </c>
      <c r="AI321" s="54">
        <v>0</v>
      </c>
      <c r="AJ321" s="54">
        <v>0</v>
      </c>
      <c r="AK321" s="54">
        <v>0</v>
      </c>
      <c r="AL321" s="54">
        <v>1</v>
      </c>
      <c r="AM321" s="54">
        <v>1</v>
      </c>
      <c r="AN321" s="14" t="s">
        <v>166</v>
      </c>
    </row>
    <row r="322" spans="1:40" ht="47.25" x14ac:dyDescent="0.25">
      <c r="A322" s="12" t="s">
        <v>1573</v>
      </c>
      <c r="B322" s="12" t="s">
        <v>1574</v>
      </c>
      <c r="C322" s="12" t="s">
        <v>1130</v>
      </c>
      <c r="D322" s="13" t="s">
        <v>30</v>
      </c>
      <c r="E322" s="13" t="s">
        <v>30</v>
      </c>
      <c r="F322" s="13">
        <v>3336</v>
      </c>
      <c r="G322" s="13" t="s">
        <v>31</v>
      </c>
      <c r="H322" s="13" t="s">
        <v>422</v>
      </c>
      <c r="I322" s="12"/>
      <c r="J322" s="13">
        <v>682753794</v>
      </c>
      <c r="K322" s="13"/>
      <c r="L322" s="13" t="s">
        <v>423</v>
      </c>
      <c r="M322" s="14" t="s">
        <v>1073</v>
      </c>
      <c r="N322" s="13" t="s">
        <v>1068</v>
      </c>
      <c r="O322" s="12">
        <v>1</v>
      </c>
      <c r="P322" s="12" t="s">
        <v>174</v>
      </c>
      <c r="Q322" s="12" t="s">
        <v>868</v>
      </c>
      <c r="R322" s="12" t="s">
        <v>174</v>
      </c>
      <c r="S322" s="14" t="s">
        <v>166</v>
      </c>
      <c r="T322" s="12" t="s">
        <v>1110</v>
      </c>
      <c r="U322" s="14" t="s">
        <v>780</v>
      </c>
      <c r="V322" s="14"/>
      <c r="W322" s="14"/>
      <c r="X322" s="12"/>
      <c r="Y322" s="12"/>
      <c r="Z322" s="14"/>
      <c r="AA322" s="12"/>
      <c r="AB322" s="15"/>
      <c r="AC322" s="16" t="s">
        <v>111</v>
      </c>
      <c r="AD322" s="16" t="s">
        <v>111</v>
      </c>
      <c r="AE322" s="16" t="s">
        <v>111</v>
      </c>
      <c r="AF322" s="16" t="s">
        <v>111</v>
      </c>
      <c r="AG322" s="16">
        <v>0</v>
      </c>
      <c r="AH322" s="14" t="s">
        <v>1149</v>
      </c>
      <c r="AI322" s="54">
        <v>0</v>
      </c>
      <c r="AJ322" s="54">
        <v>0</v>
      </c>
      <c r="AK322" s="54">
        <v>0</v>
      </c>
      <c r="AL322" s="54">
        <v>1</v>
      </c>
      <c r="AM322" s="54">
        <v>0</v>
      </c>
      <c r="AN322" s="14" t="s">
        <v>166</v>
      </c>
    </row>
    <row r="323" spans="1:40" ht="141.75" x14ac:dyDescent="0.25">
      <c r="A323" s="12" t="s">
        <v>1575</v>
      </c>
      <c r="B323" s="12" t="s">
        <v>1576</v>
      </c>
      <c r="C323" s="12" t="s">
        <v>1130</v>
      </c>
      <c r="D323" s="13" t="s">
        <v>71</v>
      </c>
      <c r="E323" s="13" t="s">
        <v>1019</v>
      </c>
      <c r="F323" s="13">
        <v>1539</v>
      </c>
      <c r="G323" s="13" t="s">
        <v>55</v>
      </c>
      <c r="H323" s="13" t="s">
        <v>430</v>
      </c>
      <c r="I323" s="12"/>
      <c r="J323" s="13">
        <v>679667979</v>
      </c>
      <c r="K323" s="13"/>
      <c r="L323" s="13" t="s">
        <v>431</v>
      </c>
      <c r="M323" s="14" t="s">
        <v>1073</v>
      </c>
      <c r="N323" s="13" t="s">
        <v>1068</v>
      </c>
      <c r="O323" s="12">
        <v>1</v>
      </c>
      <c r="P323" s="12" t="s">
        <v>174</v>
      </c>
      <c r="Q323" s="12" t="s">
        <v>868</v>
      </c>
      <c r="R323" s="12" t="s">
        <v>174</v>
      </c>
      <c r="S323" s="14" t="s">
        <v>166</v>
      </c>
      <c r="T323" s="12" t="s">
        <v>1110</v>
      </c>
      <c r="U323" s="14" t="s">
        <v>780</v>
      </c>
      <c r="V323" s="14"/>
      <c r="W323" s="14"/>
      <c r="X323" s="12"/>
      <c r="Y323" s="12"/>
      <c r="Z323" s="14"/>
      <c r="AA323" s="12"/>
      <c r="AB323" s="15"/>
      <c r="AC323" s="16">
        <v>1</v>
      </c>
      <c r="AD323" s="16">
        <v>0</v>
      </c>
      <c r="AE323" s="16">
        <v>0</v>
      </c>
      <c r="AF323" s="16">
        <v>0</v>
      </c>
      <c r="AG323" s="16">
        <v>0</v>
      </c>
      <c r="AH323" s="14" t="s">
        <v>166</v>
      </c>
      <c r="AI323" s="54">
        <v>1</v>
      </c>
      <c r="AJ323" s="54">
        <v>0</v>
      </c>
      <c r="AK323" s="54">
        <v>0</v>
      </c>
      <c r="AL323" s="54">
        <v>0</v>
      </c>
      <c r="AM323" s="54">
        <v>0</v>
      </c>
      <c r="AN323" s="14" t="s">
        <v>166</v>
      </c>
    </row>
    <row r="324" spans="1:40" ht="141.75" x14ac:dyDescent="0.25">
      <c r="A324" s="12" t="s">
        <v>1575</v>
      </c>
      <c r="B324" s="12" t="s">
        <v>1576</v>
      </c>
      <c r="C324" s="12" t="s">
        <v>1130</v>
      </c>
      <c r="D324" s="13" t="s">
        <v>71</v>
      </c>
      <c r="E324" s="13" t="s">
        <v>1019</v>
      </c>
      <c r="F324" s="13">
        <v>1870</v>
      </c>
      <c r="G324" s="13" t="s">
        <v>55</v>
      </c>
      <c r="H324" s="13" t="s">
        <v>428</v>
      </c>
      <c r="I324" s="12"/>
      <c r="J324" s="13">
        <v>680550412</v>
      </c>
      <c r="K324" s="13"/>
      <c r="L324" s="13" t="s">
        <v>429</v>
      </c>
      <c r="M324" s="14" t="s">
        <v>1073</v>
      </c>
      <c r="N324" s="13" t="s">
        <v>1068</v>
      </c>
      <c r="O324" s="12">
        <v>1</v>
      </c>
      <c r="P324" s="12" t="s">
        <v>174</v>
      </c>
      <c r="Q324" s="12" t="s">
        <v>868</v>
      </c>
      <c r="R324" s="12" t="s">
        <v>174</v>
      </c>
      <c r="S324" s="14" t="s">
        <v>166</v>
      </c>
      <c r="T324" s="12" t="s">
        <v>174</v>
      </c>
      <c r="U324" s="14" t="s">
        <v>780</v>
      </c>
      <c r="V324" s="14"/>
      <c r="W324" s="14"/>
      <c r="X324" s="12"/>
      <c r="Y324" s="12"/>
      <c r="Z324" s="14"/>
      <c r="AA324" s="12"/>
      <c r="AB324" s="15"/>
      <c r="AC324" s="16">
        <v>0</v>
      </c>
      <c r="AD324" s="16">
        <v>0</v>
      </c>
      <c r="AE324" s="16">
        <v>1</v>
      </c>
      <c r="AF324" s="16">
        <v>0</v>
      </c>
      <c r="AG324" s="16">
        <v>0</v>
      </c>
      <c r="AH324" s="14" t="s">
        <v>166</v>
      </c>
      <c r="AI324" s="54">
        <v>0</v>
      </c>
      <c r="AJ324" s="54">
        <v>0</v>
      </c>
      <c r="AK324" s="54">
        <v>1</v>
      </c>
      <c r="AL324" s="54">
        <v>0</v>
      </c>
      <c r="AM324" s="54">
        <v>0</v>
      </c>
      <c r="AN324" s="14" t="s">
        <v>166</v>
      </c>
    </row>
    <row r="325" spans="1:40" ht="141.75" x14ac:dyDescent="0.25">
      <c r="A325" s="12" t="s">
        <v>1575</v>
      </c>
      <c r="B325" s="12" t="s">
        <v>1576</v>
      </c>
      <c r="C325" s="12" t="s">
        <v>1130</v>
      </c>
      <c r="D325" s="13" t="s">
        <v>71</v>
      </c>
      <c r="E325" s="13" t="s">
        <v>1019</v>
      </c>
      <c r="F325" s="13">
        <v>4123</v>
      </c>
      <c r="G325" s="13" t="s">
        <v>55</v>
      </c>
      <c r="H325" s="13" t="s">
        <v>434</v>
      </c>
      <c r="I325" s="12"/>
      <c r="J325" s="13">
        <v>689158976</v>
      </c>
      <c r="K325" s="13"/>
      <c r="L325" s="13" t="s">
        <v>910</v>
      </c>
      <c r="M325" s="14" t="s">
        <v>1073</v>
      </c>
      <c r="N325" s="13" t="s">
        <v>1068</v>
      </c>
      <c r="O325" s="12">
        <v>1</v>
      </c>
      <c r="P325" s="12" t="s">
        <v>174</v>
      </c>
      <c r="Q325" s="12" t="s">
        <v>868</v>
      </c>
      <c r="R325" s="12" t="s">
        <v>174</v>
      </c>
      <c r="S325" s="14" t="s">
        <v>166</v>
      </c>
      <c r="T325" s="12" t="s">
        <v>1110</v>
      </c>
      <c r="U325" s="14" t="s">
        <v>780</v>
      </c>
      <c r="V325" s="14"/>
      <c r="W325" s="14"/>
      <c r="X325" s="12"/>
      <c r="Y325" s="12"/>
      <c r="Z325" s="14"/>
      <c r="AA325" s="12"/>
      <c r="AB325" s="15"/>
      <c r="AC325" s="16">
        <v>0</v>
      </c>
      <c r="AD325" s="16">
        <v>0</v>
      </c>
      <c r="AE325" s="16">
        <v>0</v>
      </c>
      <c r="AF325" s="16">
        <v>0</v>
      </c>
      <c r="AG325" s="16">
        <v>1</v>
      </c>
      <c r="AH325" s="14" t="s">
        <v>166</v>
      </c>
      <c r="AI325" s="54">
        <v>0</v>
      </c>
      <c r="AJ325" s="54">
        <v>0</v>
      </c>
      <c r="AK325" s="54">
        <v>0</v>
      </c>
      <c r="AL325" s="54">
        <v>0</v>
      </c>
      <c r="AM325" s="54">
        <v>1</v>
      </c>
      <c r="AN325" s="14" t="s">
        <v>166</v>
      </c>
    </row>
    <row r="326" spans="1:40" ht="141.75" x14ac:dyDescent="0.25">
      <c r="A326" s="12" t="s">
        <v>1575</v>
      </c>
      <c r="B326" s="12" t="s">
        <v>1576</v>
      </c>
      <c r="C326" s="12" t="s">
        <v>1130</v>
      </c>
      <c r="D326" s="13" t="s">
        <v>71</v>
      </c>
      <c r="E326" s="13" t="s">
        <v>1019</v>
      </c>
      <c r="F326" s="13">
        <v>1828</v>
      </c>
      <c r="G326" s="13" t="s">
        <v>55</v>
      </c>
      <c r="H326" s="13" t="s">
        <v>424</v>
      </c>
      <c r="I326" s="12"/>
      <c r="J326" s="13">
        <v>696096407</v>
      </c>
      <c r="K326" s="13"/>
      <c r="L326" s="13" t="s">
        <v>425</v>
      </c>
      <c r="M326" s="14" t="s">
        <v>1073</v>
      </c>
      <c r="N326" s="13" t="s">
        <v>1068</v>
      </c>
      <c r="O326" s="12">
        <v>1</v>
      </c>
      <c r="P326" s="12" t="s">
        <v>174</v>
      </c>
      <c r="Q326" s="12" t="s">
        <v>868</v>
      </c>
      <c r="R326" s="12" t="s">
        <v>174</v>
      </c>
      <c r="S326" s="14" t="s">
        <v>166</v>
      </c>
      <c r="T326" s="12" t="s">
        <v>174</v>
      </c>
      <c r="U326" s="14" t="s">
        <v>780</v>
      </c>
      <c r="V326" s="14"/>
      <c r="W326" s="14"/>
      <c r="X326" s="12"/>
      <c r="Y326" s="12"/>
      <c r="Z326" s="14"/>
      <c r="AA326" s="12"/>
      <c r="AB326" s="15"/>
      <c r="AC326" s="16">
        <v>0</v>
      </c>
      <c r="AD326" s="16">
        <v>0</v>
      </c>
      <c r="AE326" s="16">
        <v>1</v>
      </c>
      <c r="AF326" s="16">
        <v>0</v>
      </c>
      <c r="AG326" s="16">
        <v>0</v>
      </c>
      <c r="AH326" s="14" t="s">
        <v>166</v>
      </c>
      <c r="AI326" s="54">
        <v>0</v>
      </c>
      <c r="AJ326" s="54">
        <v>0</v>
      </c>
      <c r="AK326" s="54">
        <v>1</v>
      </c>
      <c r="AL326" s="54">
        <v>0</v>
      </c>
      <c r="AM326" s="54">
        <v>0</v>
      </c>
      <c r="AN326" s="14" t="s">
        <v>166</v>
      </c>
    </row>
    <row r="327" spans="1:40" ht="141.75" x14ac:dyDescent="0.25">
      <c r="A327" s="12" t="s">
        <v>1575</v>
      </c>
      <c r="B327" s="12" t="s">
        <v>1576</v>
      </c>
      <c r="C327" s="12" t="s">
        <v>1130</v>
      </c>
      <c r="D327" s="13" t="s">
        <v>71</v>
      </c>
      <c r="E327" s="13" t="s">
        <v>1019</v>
      </c>
      <c r="F327" s="13">
        <v>5992</v>
      </c>
      <c r="G327" s="13" t="s">
        <v>55</v>
      </c>
      <c r="H327" s="13" t="s">
        <v>908</v>
      </c>
      <c r="I327" s="12"/>
      <c r="J327" s="13">
        <v>648838115</v>
      </c>
      <c r="K327" s="13"/>
      <c r="L327" s="13" t="s">
        <v>909</v>
      </c>
      <c r="M327" s="14" t="s">
        <v>1073</v>
      </c>
      <c r="N327" s="13" t="s">
        <v>1068</v>
      </c>
      <c r="O327" s="12">
        <v>1</v>
      </c>
      <c r="P327" s="12" t="s">
        <v>174</v>
      </c>
      <c r="Q327" s="12" t="s">
        <v>868</v>
      </c>
      <c r="R327" s="12" t="s">
        <v>174</v>
      </c>
      <c r="S327" s="14" t="s">
        <v>166</v>
      </c>
      <c r="T327" s="12" t="s">
        <v>1110</v>
      </c>
      <c r="U327" s="14" t="s">
        <v>780</v>
      </c>
      <c r="V327" s="14"/>
      <c r="W327" s="14"/>
      <c r="X327" s="12"/>
      <c r="Y327" s="12"/>
      <c r="Z327" s="14"/>
      <c r="AA327" s="12"/>
      <c r="AB327" s="15"/>
      <c r="AC327" s="16">
        <v>0</v>
      </c>
      <c r="AD327" s="16">
        <v>0</v>
      </c>
      <c r="AE327" s="16">
        <v>0</v>
      </c>
      <c r="AF327" s="16">
        <v>0</v>
      </c>
      <c r="AG327" s="16">
        <v>1</v>
      </c>
      <c r="AH327" s="14" t="s">
        <v>166</v>
      </c>
      <c r="AI327" s="54">
        <v>0</v>
      </c>
      <c r="AJ327" s="54">
        <v>0</v>
      </c>
      <c r="AK327" s="54">
        <v>1</v>
      </c>
      <c r="AL327" s="54">
        <v>0</v>
      </c>
      <c r="AM327" s="54">
        <v>1</v>
      </c>
      <c r="AN327" s="14" t="s">
        <v>166</v>
      </c>
    </row>
    <row r="328" spans="1:40" ht="141.75" x14ac:dyDescent="0.25">
      <c r="A328" s="12" t="s">
        <v>1575</v>
      </c>
      <c r="B328" s="12" t="s">
        <v>1576</v>
      </c>
      <c r="C328" s="12" t="s">
        <v>1130</v>
      </c>
      <c r="D328" s="13" t="s">
        <v>71</v>
      </c>
      <c r="E328" s="13" t="s">
        <v>1019</v>
      </c>
      <c r="F328" s="13">
        <v>2650</v>
      </c>
      <c r="G328" s="13" t="s">
        <v>55</v>
      </c>
      <c r="H328" s="13" t="s">
        <v>426</v>
      </c>
      <c r="I328" s="12"/>
      <c r="J328" s="13">
        <v>676327585</v>
      </c>
      <c r="K328" s="13"/>
      <c r="L328" s="13" t="s">
        <v>427</v>
      </c>
      <c r="M328" s="14" t="s">
        <v>1073</v>
      </c>
      <c r="N328" s="13" t="s">
        <v>1068</v>
      </c>
      <c r="O328" s="12">
        <v>1</v>
      </c>
      <c r="P328" s="12" t="s">
        <v>174</v>
      </c>
      <c r="Q328" s="12" t="s">
        <v>868</v>
      </c>
      <c r="R328" s="12" t="s">
        <v>174</v>
      </c>
      <c r="S328" s="14" t="s">
        <v>166</v>
      </c>
      <c r="T328" s="12" t="s">
        <v>1110</v>
      </c>
      <c r="U328" s="14" t="s">
        <v>780</v>
      </c>
      <c r="V328" s="14"/>
      <c r="W328" s="14"/>
      <c r="X328" s="12"/>
      <c r="Y328" s="12"/>
      <c r="Z328" s="14"/>
      <c r="AA328" s="12"/>
      <c r="AB328" s="15"/>
      <c r="AC328" s="16">
        <v>0</v>
      </c>
      <c r="AD328" s="16">
        <v>1</v>
      </c>
      <c r="AE328" s="16">
        <v>0</v>
      </c>
      <c r="AF328" s="16">
        <v>0</v>
      </c>
      <c r="AG328" s="16">
        <v>0</v>
      </c>
      <c r="AH328" s="14" t="s">
        <v>166</v>
      </c>
      <c r="AI328" s="54">
        <v>0</v>
      </c>
      <c r="AJ328" s="54">
        <v>1</v>
      </c>
      <c r="AK328" s="54">
        <v>0</v>
      </c>
      <c r="AL328" s="54">
        <v>0</v>
      </c>
      <c r="AM328" s="54">
        <v>0</v>
      </c>
      <c r="AN328" s="14" t="s">
        <v>166</v>
      </c>
    </row>
    <row r="329" spans="1:40" ht="47.25" x14ac:dyDescent="0.25">
      <c r="A329" s="12" t="s">
        <v>1577</v>
      </c>
      <c r="B329" s="12" t="s">
        <v>1578</v>
      </c>
      <c r="C329" s="12" t="s">
        <v>1130</v>
      </c>
      <c r="D329" s="13" t="s">
        <v>785</v>
      </c>
      <c r="E329" s="13" t="s">
        <v>1021</v>
      </c>
      <c r="F329" s="13">
        <v>1793</v>
      </c>
      <c r="G329" s="13" t="s">
        <v>55</v>
      </c>
      <c r="H329" s="13" t="s">
        <v>444</v>
      </c>
      <c r="I329" s="12"/>
      <c r="J329" s="13">
        <v>639964677</v>
      </c>
      <c r="K329" s="13"/>
      <c r="L329" s="13" t="s">
        <v>445</v>
      </c>
      <c r="M329" s="14" t="s">
        <v>1073</v>
      </c>
      <c r="N329" s="13" t="s">
        <v>1068</v>
      </c>
      <c r="O329" s="12">
        <v>1</v>
      </c>
      <c r="P329" s="12" t="s">
        <v>174</v>
      </c>
      <c r="Q329" s="12" t="s">
        <v>868</v>
      </c>
      <c r="R329" s="12" t="s">
        <v>174</v>
      </c>
      <c r="S329" s="14" t="s">
        <v>166</v>
      </c>
      <c r="T329" s="12" t="s">
        <v>1110</v>
      </c>
      <c r="U329" s="14" t="s">
        <v>780</v>
      </c>
      <c r="V329" s="14"/>
      <c r="W329" s="14"/>
      <c r="X329" s="12"/>
      <c r="Y329" s="12"/>
      <c r="Z329" s="14"/>
      <c r="AA329" s="12"/>
      <c r="AB329" s="15"/>
      <c r="AC329" s="16">
        <v>0</v>
      </c>
      <c r="AD329" s="16">
        <v>0</v>
      </c>
      <c r="AE329" s="16">
        <v>1</v>
      </c>
      <c r="AF329" s="16">
        <v>0</v>
      </c>
      <c r="AG329" s="16">
        <v>0</v>
      </c>
      <c r="AH329" s="14" t="s">
        <v>166</v>
      </c>
      <c r="AI329" s="54">
        <v>0</v>
      </c>
      <c r="AJ329" s="54">
        <v>0</v>
      </c>
      <c r="AK329" s="54">
        <v>1</v>
      </c>
      <c r="AL329" s="54">
        <v>0</v>
      </c>
      <c r="AM329" s="54">
        <v>0</v>
      </c>
      <c r="AN329" s="14" t="s">
        <v>166</v>
      </c>
    </row>
    <row r="330" spans="1:40" ht="47.25" x14ac:dyDescent="0.25">
      <c r="A330" s="12" t="s">
        <v>1577</v>
      </c>
      <c r="B330" s="12" t="s">
        <v>1578</v>
      </c>
      <c r="C330" s="12" t="s">
        <v>1130</v>
      </c>
      <c r="D330" s="13" t="s">
        <v>785</v>
      </c>
      <c r="E330" s="13" t="s">
        <v>1021</v>
      </c>
      <c r="F330" s="13">
        <v>4861</v>
      </c>
      <c r="G330" s="13" t="s">
        <v>55</v>
      </c>
      <c r="H330" s="13" t="s">
        <v>830</v>
      </c>
      <c r="I330" s="12"/>
      <c r="J330" s="13">
        <v>690762748</v>
      </c>
      <c r="K330" s="13"/>
      <c r="L330" s="13" t="s">
        <v>917</v>
      </c>
      <c r="M330" s="14" t="s">
        <v>1073</v>
      </c>
      <c r="N330" s="13" t="s">
        <v>1068</v>
      </c>
      <c r="O330" s="12">
        <v>1</v>
      </c>
      <c r="P330" s="12" t="s">
        <v>174</v>
      </c>
      <c r="Q330" s="12" t="s">
        <v>868</v>
      </c>
      <c r="R330" s="12" t="s">
        <v>174</v>
      </c>
      <c r="S330" s="14" t="s">
        <v>166</v>
      </c>
      <c r="T330" s="12" t="s">
        <v>174</v>
      </c>
      <c r="U330" s="14" t="s">
        <v>780</v>
      </c>
      <c r="V330" s="14"/>
      <c r="W330" s="14"/>
      <c r="X330" s="12"/>
      <c r="Y330" s="12"/>
      <c r="Z330" s="14"/>
      <c r="AA330" s="12"/>
      <c r="AB330" s="15"/>
      <c r="AC330" s="16">
        <v>0</v>
      </c>
      <c r="AD330" s="16">
        <v>0</v>
      </c>
      <c r="AE330" s="16">
        <v>0</v>
      </c>
      <c r="AF330" s="16">
        <v>0</v>
      </c>
      <c r="AG330" s="16">
        <v>1</v>
      </c>
      <c r="AH330" s="14" t="s">
        <v>166</v>
      </c>
      <c r="AI330" s="54">
        <v>0</v>
      </c>
      <c r="AJ330" s="54">
        <v>0</v>
      </c>
      <c r="AK330" s="54">
        <v>0</v>
      </c>
      <c r="AL330" s="54">
        <v>0</v>
      </c>
      <c r="AM330" s="54">
        <v>1</v>
      </c>
      <c r="AN330" s="14" t="s">
        <v>166</v>
      </c>
    </row>
    <row r="331" spans="1:40" ht="141.75" x14ac:dyDescent="0.25">
      <c r="A331" s="12" t="s">
        <v>1579</v>
      </c>
      <c r="B331" s="12" t="s">
        <v>1580</v>
      </c>
      <c r="C331" s="12" t="s">
        <v>1130</v>
      </c>
      <c r="D331" s="13" t="s">
        <v>71</v>
      </c>
      <c r="E331" s="13" t="s">
        <v>1019</v>
      </c>
      <c r="F331" s="13">
        <v>3260</v>
      </c>
      <c r="G331" s="13" t="s">
        <v>40</v>
      </c>
      <c r="H331" s="13" t="s">
        <v>432</v>
      </c>
      <c r="I331" s="12"/>
      <c r="J331" s="13">
        <v>676790069</v>
      </c>
      <c r="K331" s="13"/>
      <c r="L331" s="13" t="s">
        <v>433</v>
      </c>
      <c r="M331" s="14" t="s">
        <v>1073</v>
      </c>
      <c r="N331" s="13" t="s">
        <v>1068</v>
      </c>
      <c r="O331" s="12">
        <v>1</v>
      </c>
      <c r="P331" s="12" t="s">
        <v>174</v>
      </c>
      <c r="Q331" s="12" t="s">
        <v>868</v>
      </c>
      <c r="R331" s="12" t="s">
        <v>174</v>
      </c>
      <c r="S331" s="14" t="s">
        <v>166</v>
      </c>
      <c r="T331" s="12" t="s">
        <v>1110</v>
      </c>
      <c r="U331" s="14" t="s">
        <v>780</v>
      </c>
      <c r="V331" s="14"/>
      <c r="W331" s="14"/>
      <c r="X331" s="12"/>
      <c r="Y331" s="12"/>
      <c r="Z331" s="14"/>
      <c r="AA331" s="12"/>
      <c r="AB331" s="15"/>
      <c r="AC331" s="16">
        <v>0</v>
      </c>
      <c r="AD331" s="16">
        <v>1</v>
      </c>
      <c r="AE331" s="16">
        <v>0</v>
      </c>
      <c r="AF331" s="16">
        <v>0</v>
      </c>
      <c r="AG331" s="16">
        <v>0</v>
      </c>
      <c r="AH331" s="14" t="s">
        <v>166</v>
      </c>
      <c r="AI331" s="54">
        <v>0</v>
      </c>
      <c r="AJ331" s="54">
        <v>1</v>
      </c>
      <c r="AK331" s="54">
        <v>0</v>
      </c>
      <c r="AL331" s="54">
        <v>0</v>
      </c>
      <c r="AM331" s="54">
        <v>0</v>
      </c>
      <c r="AN331" s="14" t="s">
        <v>166</v>
      </c>
    </row>
    <row r="332" spans="1:40" ht="141.75" x14ac:dyDescent="0.25">
      <c r="A332" s="12" t="s">
        <v>1579</v>
      </c>
      <c r="B332" s="12" t="s">
        <v>1580</v>
      </c>
      <c r="C332" s="12" t="s">
        <v>1130</v>
      </c>
      <c r="D332" s="13" t="s">
        <v>71</v>
      </c>
      <c r="E332" s="13" t="s">
        <v>1019</v>
      </c>
      <c r="F332" s="13">
        <v>1830</v>
      </c>
      <c r="G332" s="13" t="s">
        <v>40</v>
      </c>
      <c r="H332" s="13" t="s">
        <v>437</v>
      </c>
      <c r="I332" s="12"/>
      <c r="J332" s="13">
        <v>660007435</v>
      </c>
      <c r="K332" s="13"/>
      <c r="L332" s="13" t="s">
        <v>438</v>
      </c>
      <c r="M332" s="14" t="s">
        <v>1073</v>
      </c>
      <c r="N332" s="13" t="s">
        <v>1068</v>
      </c>
      <c r="O332" s="12">
        <v>1</v>
      </c>
      <c r="P332" s="12" t="s">
        <v>174</v>
      </c>
      <c r="Q332" s="12" t="s">
        <v>868</v>
      </c>
      <c r="R332" s="12" t="s">
        <v>174</v>
      </c>
      <c r="S332" s="14" t="s">
        <v>166</v>
      </c>
      <c r="T332" s="12" t="s">
        <v>1110</v>
      </c>
      <c r="U332" s="14" t="s">
        <v>780</v>
      </c>
      <c r="V332" s="14"/>
      <c r="W332" s="14"/>
      <c r="X332" s="12"/>
      <c r="Y332" s="12"/>
      <c r="Z332" s="14"/>
      <c r="AA332" s="12"/>
      <c r="AB332" s="15"/>
      <c r="AC332" s="16">
        <v>0</v>
      </c>
      <c r="AD332" s="16">
        <v>0</v>
      </c>
      <c r="AE332" s="16">
        <v>0</v>
      </c>
      <c r="AF332" s="16">
        <v>0</v>
      </c>
      <c r="AG332" s="16">
        <v>0</v>
      </c>
      <c r="AH332" s="14" t="s">
        <v>174</v>
      </c>
      <c r="AI332" s="54">
        <v>0</v>
      </c>
      <c r="AJ332" s="54">
        <v>0</v>
      </c>
      <c r="AK332" s="54">
        <v>0</v>
      </c>
      <c r="AL332" s="54">
        <v>0</v>
      </c>
      <c r="AM332" s="54">
        <v>0</v>
      </c>
      <c r="AN332" s="14" t="s">
        <v>174</v>
      </c>
    </row>
    <row r="333" spans="1:40" ht="47.25" x14ac:dyDescent="0.25">
      <c r="A333" s="12" t="s">
        <v>1581</v>
      </c>
      <c r="B333" s="12" t="s">
        <v>1582</v>
      </c>
      <c r="C333" s="12" t="s">
        <v>1130</v>
      </c>
      <c r="D333" s="13" t="s">
        <v>72</v>
      </c>
      <c r="E333" s="13" t="s">
        <v>1020</v>
      </c>
      <c r="F333" s="13">
        <v>5196</v>
      </c>
      <c r="G333" s="13" t="s">
        <v>40</v>
      </c>
      <c r="H333" s="13" t="s">
        <v>829</v>
      </c>
      <c r="I333" s="12"/>
      <c r="J333" s="13">
        <v>696152175</v>
      </c>
      <c r="K333" s="13"/>
      <c r="L333" s="13" t="s">
        <v>913</v>
      </c>
      <c r="M333" s="14" t="s">
        <v>1073</v>
      </c>
      <c r="N333" s="13" t="s">
        <v>1068</v>
      </c>
      <c r="O333" s="12">
        <v>1</v>
      </c>
      <c r="P333" s="12" t="s">
        <v>174</v>
      </c>
      <c r="Q333" s="12" t="s">
        <v>868</v>
      </c>
      <c r="R333" s="12" t="s">
        <v>174</v>
      </c>
      <c r="S333" s="14" t="s">
        <v>166</v>
      </c>
      <c r="T333" s="12" t="s">
        <v>1110</v>
      </c>
      <c r="U333" s="14" t="s">
        <v>780</v>
      </c>
      <c r="V333" s="14"/>
      <c r="W333" s="14"/>
      <c r="X333" s="12"/>
      <c r="Y333" s="12"/>
      <c r="Z333" s="14"/>
      <c r="AA333" s="12"/>
      <c r="AB333" s="15"/>
      <c r="AC333" s="16">
        <v>0</v>
      </c>
      <c r="AD333" s="16">
        <v>0</v>
      </c>
      <c r="AE333" s="16">
        <v>0</v>
      </c>
      <c r="AF333" s="16">
        <v>0</v>
      </c>
      <c r="AG333" s="16">
        <v>0</v>
      </c>
      <c r="AH333" s="14" t="s">
        <v>174</v>
      </c>
      <c r="AI333" s="54">
        <v>0</v>
      </c>
      <c r="AJ333" s="54">
        <v>0</v>
      </c>
      <c r="AK333" s="54">
        <v>0</v>
      </c>
      <c r="AL333" s="54">
        <v>0</v>
      </c>
      <c r="AM333" s="54">
        <v>0</v>
      </c>
      <c r="AN333" s="14" t="s">
        <v>174</v>
      </c>
    </row>
    <row r="334" spans="1:40" ht="141.75" x14ac:dyDescent="0.25">
      <c r="A334" s="12" t="s">
        <v>1583</v>
      </c>
      <c r="B334" s="12" t="s">
        <v>1584</v>
      </c>
      <c r="C334" s="12" t="s">
        <v>1130</v>
      </c>
      <c r="D334" s="13" t="s">
        <v>71</v>
      </c>
      <c r="E334" s="13" t="s">
        <v>1019</v>
      </c>
      <c r="F334" s="13">
        <v>6061</v>
      </c>
      <c r="G334" s="13" t="s">
        <v>41</v>
      </c>
      <c r="H334" s="13" t="s">
        <v>914</v>
      </c>
      <c r="I334" s="12"/>
      <c r="J334" s="13">
        <v>660288606</v>
      </c>
      <c r="K334" s="13"/>
      <c r="L334" s="13" t="s">
        <v>915</v>
      </c>
      <c r="M334" s="14" t="s">
        <v>1073</v>
      </c>
      <c r="N334" s="13" t="s">
        <v>1068</v>
      </c>
      <c r="O334" s="12">
        <v>1</v>
      </c>
      <c r="P334" s="12" t="s">
        <v>174</v>
      </c>
      <c r="Q334" s="12" t="s">
        <v>868</v>
      </c>
      <c r="R334" s="12" t="s">
        <v>174</v>
      </c>
      <c r="S334" s="14" t="s">
        <v>166</v>
      </c>
      <c r="T334" s="12" t="s">
        <v>1110</v>
      </c>
      <c r="U334" s="14" t="s">
        <v>780</v>
      </c>
      <c r="V334" s="14"/>
      <c r="W334" s="14"/>
      <c r="X334" s="12"/>
      <c r="Y334" s="12"/>
      <c r="Z334" s="14"/>
      <c r="AA334" s="12"/>
      <c r="AB334" s="15"/>
      <c r="AC334" s="16">
        <v>0</v>
      </c>
      <c r="AD334" s="16">
        <v>0</v>
      </c>
      <c r="AE334" s="16">
        <v>0</v>
      </c>
      <c r="AF334" s="16">
        <v>0</v>
      </c>
      <c r="AG334" s="16">
        <v>1</v>
      </c>
      <c r="AH334" s="14" t="s">
        <v>166</v>
      </c>
      <c r="AI334" s="54">
        <v>0</v>
      </c>
      <c r="AJ334" s="54">
        <v>0</v>
      </c>
      <c r="AK334" s="54">
        <v>0</v>
      </c>
      <c r="AL334" s="54">
        <v>1</v>
      </c>
      <c r="AM334" s="54">
        <v>1</v>
      </c>
      <c r="AN334" s="14" t="s">
        <v>166</v>
      </c>
    </row>
    <row r="335" spans="1:40" ht="47.25" x14ac:dyDescent="0.25">
      <c r="A335" s="12" t="s">
        <v>1585</v>
      </c>
      <c r="B335" s="12" t="s">
        <v>1586</v>
      </c>
      <c r="C335" s="12" t="s">
        <v>1130</v>
      </c>
      <c r="D335" s="13" t="s">
        <v>785</v>
      </c>
      <c r="E335" s="13" t="s">
        <v>1021</v>
      </c>
      <c r="F335" s="13">
        <v>1544</v>
      </c>
      <c r="G335" s="13" t="s">
        <v>41</v>
      </c>
      <c r="H335" s="13" t="s">
        <v>440</v>
      </c>
      <c r="I335" s="12"/>
      <c r="J335" s="13">
        <v>626213224</v>
      </c>
      <c r="K335" s="13"/>
      <c r="L335" s="13" t="s">
        <v>441</v>
      </c>
      <c r="M335" s="14" t="s">
        <v>1073</v>
      </c>
      <c r="N335" s="13" t="s">
        <v>1068</v>
      </c>
      <c r="O335" s="12">
        <v>1</v>
      </c>
      <c r="P335" s="12" t="s">
        <v>174</v>
      </c>
      <c r="Q335" s="12" t="s">
        <v>868</v>
      </c>
      <c r="R335" s="12" t="s">
        <v>174</v>
      </c>
      <c r="S335" s="14" t="s">
        <v>166</v>
      </c>
      <c r="T335" s="12" t="s">
        <v>1110</v>
      </c>
      <c r="U335" s="14" t="s">
        <v>780</v>
      </c>
      <c r="V335" s="14"/>
      <c r="W335" s="14"/>
      <c r="X335" s="12"/>
      <c r="Y335" s="12"/>
      <c r="Z335" s="14"/>
      <c r="AA335" s="12"/>
      <c r="AB335" s="15"/>
      <c r="AC335" s="16">
        <v>0</v>
      </c>
      <c r="AD335" s="16">
        <v>0</v>
      </c>
      <c r="AE335" s="16">
        <v>0</v>
      </c>
      <c r="AF335" s="16">
        <v>1</v>
      </c>
      <c r="AG335" s="16">
        <v>0</v>
      </c>
      <c r="AH335" s="14" t="s">
        <v>166</v>
      </c>
      <c r="AI335" s="54">
        <v>0</v>
      </c>
      <c r="AJ335" s="54">
        <v>0</v>
      </c>
      <c r="AK335" s="54">
        <v>0</v>
      </c>
      <c r="AL335" s="54">
        <v>1</v>
      </c>
      <c r="AM335" s="54">
        <v>0</v>
      </c>
      <c r="AN335" s="14" t="s">
        <v>166</v>
      </c>
    </row>
    <row r="336" spans="1:40" ht="141.75" x14ac:dyDescent="0.25">
      <c r="A336" s="12" t="s">
        <v>1587</v>
      </c>
      <c r="B336" s="12" t="s">
        <v>1588</v>
      </c>
      <c r="C336" s="12" t="s">
        <v>1130</v>
      </c>
      <c r="D336" s="13" t="s">
        <v>71</v>
      </c>
      <c r="E336" s="13" t="s">
        <v>1019</v>
      </c>
      <c r="F336" s="13">
        <v>2652</v>
      </c>
      <c r="G336" s="13" t="s">
        <v>35</v>
      </c>
      <c r="H336" s="13" t="s">
        <v>435</v>
      </c>
      <c r="I336" s="12"/>
      <c r="J336" s="13">
        <v>690078108</v>
      </c>
      <c r="K336" s="13"/>
      <c r="L336" s="13" t="s">
        <v>436</v>
      </c>
      <c r="M336" s="14" t="s">
        <v>1073</v>
      </c>
      <c r="N336" s="13" t="s">
        <v>1068</v>
      </c>
      <c r="O336" s="12">
        <v>1</v>
      </c>
      <c r="P336" s="12" t="s">
        <v>174</v>
      </c>
      <c r="Q336" s="12" t="s">
        <v>868</v>
      </c>
      <c r="R336" s="12" t="s">
        <v>174</v>
      </c>
      <c r="S336" s="14" t="s">
        <v>166</v>
      </c>
      <c r="T336" s="12" t="s">
        <v>1110</v>
      </c>
      <c r="U336" s="14" t="s">
        <v>780</v>
      </c>
      <c r="V336" s="14"/>
      <c r="W336" s="14"/>
      <c r="X336" s="12"/>
      <c r="Y336" s="12"/>
      <c r="Z336" s="14"/>
      <c r="AA336" s="12"/>
      <c r="AB336" s="15"/>
      <c r="AC336" s="16">
        <v>0</v>
      </c>
      <c r="AD336" s="16">
        <v>0</v>
      </c>
      <c r="AE336" s="16">
        <v>0</v>
      </c>
      <c r="AF336" s="16">
        <v>1</v>
      </c>
      <c r="AG336" s="16">
        <v>0</v>
      </c>
      <c r="AH336" s="14" t="s">
        <v>166</v>
      </c>
      <c r="AI336" s="54">
        <v>0</v>
      </c>
      <c r="AJ336" s="54">
        <v>0</v>
      </c>
      <c r="AK336" s="54">
        <v>0</v>
      </c>
      <c r="AL336" s="54">
        <v>1</v>
      </c>
      <c r="AM336" s="54">
        <v>0</v>
      </c>
      <c r="AN336" s="14" t="s">
        <v>166</v>
      </c>
    </row>
    <row r="337" spans="1:40" ht="47.25" x14ac:dyDescent="0.25">
      <c r="A337" s="12" t="s">
        <v>1589</v>
      </c>
      <c r="B337" s="12" t="s">
        <v>1590</v>
      </c>
      <c r="C337" s="12" t="s">
        <v>1130</v>
      </c>
      <c r="D337" s="13" t="s">
        <v>72</v>
      </c>
      <c r="E337" s="13" t="s">
        <v>1020</v>
      </c>
      <c r="F337" s="13">
        <v>4095</v>
      </c>
      <c r="G337" s="13" t="s">
        <v>35</v>
      </c>
      <c r="H337" s="13" t="s">
        <v>687</v>
      </c>
      <c r="I337" s="12"/>
      <c r="J337" s="13">
        <v>689030561</v>
      </c>
      <c r="K337" s="13"/>
      <c r="L337" s="13" t="s">
        <v>688</v>
      </c>
      <c r="M337" s="14" t="s">
        <v>1073</v>
      </c>
      <c r="N337" s="13" t="s">
        <v>1068</v>
      </c>
      <c r="O337" s="12">
        <v>1</v>
      </c>
      <c r="P337" s="12" t="s">
        <v>174</v>
      </c>
      <c r="Q337" s="12" t="s">
        <v>868</v>
      </c>
      <c r="R337" s="12" t="s">
        <v>174</v>
      </c>
      <c r="S337" s="14" t="s">
        <v>166</v>
      </c>
      <c r="T337" s="12" t="s">
        <v>1110</v>
      </c>
      <c r="U337" s="14" t="s">
        <v>780</v>
      </c>
      <c r="V337" s="14"/>
      <c r="W337" s="14"/>
      <c r="X337" s="12"/>
      <c r="Y337" s="12"/>
      <c r="Z337" s="14"/>
      <c r="AA337" s="12"/>
      <c r="AB337" s="15"/>
      <c r="AC337" s="16">
        <v>0</v>
      </c>
      <c r="AD337" s="16">
        <v>0</v>
      </c>
      <c r="AE337" s="16">
        <v>0</v>
      </c>
      <c r="AF337" s="16">
        <v>1</v>
      </c>
      <c r="AG337" s="16">
        <v>0</v>
      </c>
      <c r="AH337" s="14" t="s">
        <v>166</v>
      </c>
      <c r="AI337" s="54">
        <v>0</v>
      </c>
      <c r="AJ337" s="54">
        <v>0</v>
      </c>
      <c r="AK337" s="54">
        <v>0</v>
      </c>
      <c r="AL337" s="54">
        <v>1</v>
      </c>
      <c r="AM337" s="54">
        <v>0</v>
      </c>
      <c r="AN337" s="14" t="s">
        <v>166</v>
      </c>
    </row>
    <row r="338" spans="1:40" ht="47.25" x14ac:dyDescent="0.25">
      <c r="A338" s="12" t="s">
        <v>1591</v>
      </c>
      <c r="B338" s="12" t="s">
        <v>1592</v>
      </c>
      <c r="C338" s="12" t="s">
        <v>1130</v>
      </c>
      <c r="D338" s="13" t="s">
        <v>785</v>
      </c>
      <c r="E338" s="13" t="s">
        <v>1021</v>
      </c>
      <c r="F338" s="13">
        <v>4059</v>
      </c>
      <c r="G338" s="13" t="s">
        <v>35</v>
      </c>
      <c r="H338" s="13" t="s">
        <v>439</v>
      </c>
      <c r="I338" s="12"/>
      <c r="J338" s="13">
        <v>696095254</v>
      </c>
      <c r="K338" s="13"/>
      <c r="L338" s="13" t="s">
        <v>916</v>
      </c>
      <c r="M338" s="14" t="s">
        <v>1073</v>
      </c>
      <c r="N338" s="13" t="s">
        <v>1068</v>
      </c>
      <c r="O338" s="12">
        <v>1</v>
      </c>
      <c r="P338" s="12" t="s">
        <v>174</v>
      </c>
      <c r="Q338" s="12" t="s">
        <v>868</v>
      </c>
      <c r="R338" s="12" t="s">
        <v>174</v>
      </c>
      <c r="S338" s="14" t="s">
        <v>166</v>
      </c>
      <c r="T338" s="12" t="s">
        <v>174</v>
      </c>
      <c r="U338" s="14" t="s">
        <v>780</v>
      </c>
      <c r="V338" s="14"/>
      <c r="W338" s="14"/>
      <c r="X338" s="12"/>
      <c r="Y338" s="12"/>
      <c r="Z338" s="14"/>
      <c r="AA338" s="12"/>
      <c r="AB338" s="15"/>
      <c r="AC338" s="16">
        <v>0</v>
      </c>
      <c r="AD338" s="16">
        <v>0</v>
      </c>
      <c r="AE338" s="16">
        <v>0</v>
      </c>
      <c r="AF338" s="16">
        <v>0</v>
      </c>
      <c r="AG338" s="16">
        <v>1</v>
      </c>
      <c r="AH338" s="14" t="s">
        <v>166</v>
      </c>
      <c r="AI338" s="54">
        <v>0</v>
      </c>
      <c r="AJ338" s="54">
        <v>0</v>
      </c>
      <c r="AK338" s="54">
        <v>0</v>
      </c>
      <c r="AL338" s="54">
        <v>1</v>
      </c>
      <c r="AM338" s="54">
        <v>1</v>
      </c>
      <c r="AN338" s="14" t="s">
        <v>166</v>
      </c>
    </row>
    <row r="339" spans="1:40" ht="141.75" x14ac:dyDescent="0.25">
      <c r="A339" s="12" t="s">
        <v>1593</v>
      </c>
      <c r="B339" s="12" t="s">
        <v>1594</v>
      </c>
      <c r="C339" s="12" t="s">
        <v>1130</v>
      </c>
      <c r="D339" s="13" t="s">
        <v>71</v>
      </c>
      <c r="E339" s="13" t="s">
        <v>1019</v>
      </c>
      <c r="F339" s="13">
        <v>5292</v>
      </c>
      <c r="G339" s="13" t="s">
        <v>59</v>
      </c>
      <c r="H339" s="13" t="s">
        <v>911</v>
      </c>
      <c r="I339" s="12"/>
      <c r="J339" s="13">
        <v>696203392</v>
      </c>
      <c r="K339" s="13"/>
      <c r="L339" s="13" t="s">
        <v>912</v>
      </c>
      <c r="M339" s="14" t="s">
        <v>1073</v>
      </c>
      <c r="N339" s="13" t="s">
        <v>1068</v>
      </c>
      <c r="O339" s="12">
        <v>1</v>
      </c>
      <c r="P339" s="12" t="s">
        <v>174</v>
      </c>
      <c r="Q339" s="12" t="s">
        <v>868</v>
      </c>
      <c r="R339" s="12" t="s">
        <v>174</v>
      </c>
      <c r="S339" s="14" t="s">
        <v>166</v>
      </c>
      <c r="T339" s="12" t="s">
        <v>174</v>
      </c>
      <c r="U339" s="14" t="s">
        <v>780</v>
      </c>
      <c r="V339" s="14"/>
      <c r="W339" s="14"/>
      <c r="X339" s="12"/>
      <c r="Y339" s="12"/>
      <c r="Z339" s="14"/>
      <c r="AA339" s="12"/>
      <c r="AB339" s="15"/>
      <c r="AC339" s="16">
        <v>0</v>
      </c>
      <c r="AD339" s="16">
        <v>0</v>
      </c>
      <c r="AE339" s="16">
        <v>0</v>
      </c>
      <c r="AF339" s="16">
        <v>0</v>
      </c>
      <c r="AG339" s="16">
        <v>0</v>
      </c>
      <c r="AH339" s="14" t="s">
        <v>174</v>
      </c>
      <c r="AI339" s="54">
        <v>0</v>
      </c>
      <c r="AJ339" s="54">
        <v>0</v>
      </c>
      <c r="AK339" s="54">
        <v>0</v>
      </c>
      <c r="AL339" s="54">
        <v>0</v>
      </c>
      <c r="AM339" s="54">
        <v>0</v>
      </c>
      <c r="AN339" s="14" t="s">
        <v>174</v>
      </c>
    </row>
    <row r="340" spans="1:40" ht="47.25" x14ac:dyDescent="0.25">
      <c r="A340" s="12" t="s">
        <v>1595</v>
      </c>
      <c r="B340" s="12" t="s">
        <v>1596</v>
      </c>
      <c r="C340" s="12" t="s">
        <v>1130</v>
      </c>
      <c r="D340" s="13" t="s">
        <v>785</v>
      </c>
      <c r="E340" s="13" t="s">
        <v>1021</v>
      </c>
      <c r="F340" s="13">
        <v>3672</v>
      </c>
      <c r="G340" s="13" t="s">
        <v>59</v>
      </c>
      <c r="H340" s="13" t="s">
        <v>442</v>
      </c>
      <c r="I340" s="12"/>
      <c r="J340" s="13">
        <v>683228188</v>
      </c>
      <c r="K340" s="13"/>
      <c r="L340" s="13" t="s">
        <v>443</v>
      </c>
      <c r="M340" s="14" t="s">
        <v>1073</v>
      </c>
      <c r="N340" s="13" t="s">
        <v>1068</v>
      </c>
      <c r="O340" s="12">
        <v>1</v>
      </c>
      <c r="P340" s="12" t="s">
        <v>174</v>
      </c>
      <c r="Q340" s="12" t="s">
        <v>868</v>
      </c>
      <c r="R340" s="12" t="s">
        <v>174</v>
      </c>
      <c r="S340" s="14" t="s">
        <v>166</v>
      </c>
      <c r="T340" s="12" t="s">
        <v>174</v>
      </c>
      <c r="U340" s="14" t="s">
        <v>780</v>
      </c>
      <c r="V340" s="14"/>
      <c r="W340" s="14"/>
      <c r="X340" s="12"/>
      <c r="Y340" s="12"/>
      <c r="Z340" s="14"/>
      <c r="AA340" s="12"/>
      <c r="AB340" s="15"/>
      <c r="AC340" s="16">
        <v>0</v>
      </c>
      <c r="AD340" s="16">
        <v>0</v>
      </c>
      <c r="AE340" s="16">
        <v>0</v>
      </c>
      <c r="AF340" s="16">
        <v>1</v>
      </c>
      <c r="AG340" s="16">
        <v>0</v>
      </c>
      <c r="AH340" s="14" t="s">
        <v>166</v>
      </c>
      <c r="AI340" s="54">
        <v>0</v>
      </c>
      <c r="AJ340" s="54">
        <v>0</v>
      </c>
      <c r="AK340" s="54">
        <v>0</v>
      </c>
      <c r="AL340" s="54">
        <v>1</v>
      </c>
      <c r="AM340" s="54">
        <v>0</v>
      </c>
      <c r="AN340" s="14" t="s">
        <v>166</v>
      </c>
    </row>
    <row r="341" spans="1:40" ht="47.25" x14ac:dyDescent="0.25">
      <c r="A341" s="12" t="s">
        <v>1597</v>
      </c>
      <c r="B341" s="12" t="s">
        <v>1598</v>
      </c>
      <c r="C341" s="12" t="s">
        <v>1134</v>
      </c>
      <c r="D341" s="13" t="s">
        <v>26</v>
      </c>
      <c r="E341" s="13" t="s">
        <v>26</v>
      </c>
      <c r="F341" s="13">
        <v>6539</v>
      </c>
      <c r="G341" s="13" t="s">
        <v>27</v>
      </c>
      <c r="H341" s="13" t="s">
        <v>1039</v>
      </c>
      <c r="I341" s="12"/>
      <c r="J341" s="13">
        <v>625091213</v>
      </c>
      <c r="K341" s="13"/>
      <c r="L341" s="13" t="s">
        <v>1061</v>
      </c>
      <c r="M341" s="14" t="s">
        <v>1073</v>
      </c>
      <c r="N341" s="13" t="s">
        <v>1068</v>
      </c>
      <c r="O341" s="12">
        <v>2</v>
      </c>
      <c r="P341" s="12" t="s">
        <v>174</v>
      </c>
      <c r="Q341" s="12" t="s">
        <v>174</v>
      </c>
      <c r="R341" s="12" t="s">
        <v>867</v>
      </c>
      <c r="S341" s="14" t="s">
        <v>166</v>
      </c>
      <c r="T341" s="12" t="s">
        <v>1110</v>
      </c>
      <c r="U341" s="14" t="s">
        <v>780</v>
      </c>
      <c r="V341" s="14"/>
      <c r="W341" s="14"/>
      <c r="X341" s="12"/>
      <c r="Y341" s="12"/>
      <c r="Z341" s="14"/>
      <c r="AA341" s="12"/>
      <c r="AB341" s="15"/>
      <c r="AC341" s="16" t="s">
        <v>111</v>
      </c>
      <c r="AD341" s="16" t="s">
        <v>111</v>
      </c>
      <c r="AE341" s="16" t="s">
        <v>111</v>
      </c>
      <c r="AF341" s="16" t="s">
        <v>111</v>
      </c>
      <c r="AG341" s="16" t="s">
        <v>111</v>
      </c>
      <c r="AH341" s="14" t="s">
        <v>1149</v>
      </c>
      <c r="AI341" s="54">
        <v>0</v>
      </c>
      <c r="AJ341" s="54">
        <v>0</v>
      </c>
      <c r="AK341" s="54">
        <v>0</v>
      </c>
      <c r="AL341" s="54">
        <v>0</v>
      </c>
      <c r="AM341" s="54">
        <v>0</v>
      </c>
      <c r="AN341" s="14" t="s">
        <v>174</v>
      </c>
    </row>
    <row r="342" spans="1:40" ht="47.25" x14ac:dyDescent="0.25">
      <c r="A342" s="12" t="s">
        <v>1599</v>
      </c>
      <c r="B342" s="12" t="s">
        <v>1600</v>
      </c>
      <c r="C342" s="12" t="s">
        <v>1134</v>
      </c>
      <c r="D342" s="13" t="s">
        <v>28</v>
      </c>
      <c r="E342" s="13" t="s">
        <v>28</v>
      </c>
      <c r="F342" s="13">
        <v>6539</v>
      </c>
      <c r="G342" s="13" t="s">
        <v>29</v>
      </c>
      <c r="H342" s="13" t="s">
        <v>1039</v>
      </c>
      <c r="I342" s="12"/>
      <c r="J342" s="13">
        <v>625091213</v>
      </c>
      <c r="K342" s="13"/>
      <c r="L342" s="13" t="s">
        <v>1061</v>
      </c>
      <c r="M342" s="14" t="s">
        <v>1073</v>
      </c>
      <c r="N342" s="13" t="s">
        <v>1068</v>
      </c>
      <c r="O342" s="12" t="s">
        <v>53</v>
      </c>
      <c r="P342" s="12" t="s">
        <v>174</v>
      </c>
      <c r="Q342" s="12" t="s">
        <v>174</v>
      </c>
      <c r="R342" s="12" t="s">
        <v>867</v>
      </c>
      <c r="S342" s="14" t="s">
        <v>166</v>
      </c>
      <c r="T342" s="12" t="s">
        <v>1110</v>
      </c>
      <c r="U342" s="14" t="s">
        <v>780</v>
      </c>
      <c r="V342" s="14"/>
      <c r="W342" s="14"/>
      <c r="X342" s="12"/>
      <c r="Y342" s="12"/>
      <c r="Z342" s="14"/>
      <c r="AA342" s="12"/>
      <c r="AB342" s="15"/>
      <c r="AC342" s="16" t="s">
        <v>111</v>
      </c>
      <c r="AD342" s="16">
        <v>0</v>
      </c>
      <c r="AE342" s="16">
        <v>0</v>
      </c>
      <c r="AF342" s="16">
        <v>0</v>
      </c>
      <c r="AG342" s="16">
        <v>0</v>
      </c>
      <c r="AH342" s="14" t="s">
        <v>1149</v>
      </c>
      <c r="AI342" s="54">
        <v>0</v>
      </c>
      <c r="AJ342" s="54">
        <v>0</v>
      </c>
      <c r="AK342" s="54">
        <v>0</v>
      </c>
      <c r="AL342" s="54">
        <v>1</v>
      </c>
      <c r="AM342" s="54">
        <v>0</v>
      </c>
      <c r="AN342" s="14" t="s">
        <v>166</v>
      </c>
    </row>
    <row r="343" spans="1:40" ht="47.25" x14ac:dyDescent="0.25">
      <c r="A343" s="12" t="s">
        <v>1601</v>
      </c>
      <c r="B343" s="12" t="s">
        <v>1602</v>
      </c>
      <c r="C343" s="12" t="s">
        <v>1134</v>
      </c>
      <c r="D343" s="13" t="s">
        <v>30</v>
      </c>
      <c r="E343" s="13" t="s">
        <v>30</v>
      </c>
      <c r="F343" s="13">
        <v>4043</v>
      </c>
      <c r="G343" s="13" t="s">
        <v>31</v>
      </c>
      <c r="H343" s="13" t="s">
        <v>332</v>
      </c>
      <c r="I343" s="12"/>
      <c r="J343" s="13">
        <v>681286158</v>
      </c>
      <c r="K343" s="13"/>
      <c r="L343" s="13" t="s">
        <v>333</v>
      </c>
      <c r="M343" s="14" t="s">
        <v>1073</v>
      </c>
      <c r="N343" s="13" t="s">
        <v>1068</v>
      </c>
      <c r="O343" s="12" t="s">
        <v>53</v>
      </c>
      <c r="P343" s="12" t="s">
        <v>174</v>
      </c>
      <c r="Q343" s="12" t="s">
        <v>868</v>
      </c>
      <c r="R343" s="12" t="s">
        <v>174</v>
      </c>
      <c r="S343" s="14" t="s">
        <v>166</v>
      </c>
      <c r="T343" s="12" t="s">
        <v>1110</v>
      </c>
      <c r="U343" s="14" t="s">
        <v>780</v>
      </c>
      <c r="V343" s="14"/>
      <c r="W343" s="14"/>
      <c r="X343" s="12"/>
      <c r="Y343" s="12"/>
      <c r="Z343" s="14"/>
      <c r="AA343" s="12"/>
      <c r="AB343" s="15"/>
      <c r="AC343" s="16" t="s">
        <v>111</v>
      </c>
      <c r="AD343" s="16">
        <v>0</v>
      </c>
      <c r="AE343" s="16">
        <v>0</v>
      </c>
      <c r="AF343" s="16">
        <v>0</v>
      </c>
      <c r="AG343" s="16">
        <v>0</v>
      </c>
      <c r="AH343" s="14" t="s">
        <v>1149</v>
      </c>
      <c r="AI343" s="54">
        <v>0</v>
      </c>
      <c r="AJ343" s="54">
        <v>0</v>
      </c>
      <c r="AK343" s="54">
        <v>0</v>
      </c>
      <c r="AL343" s="54">
        <v>1</v>
      </c>
      <c r="AM343" s="54">
        <v>0</v>
      </c>
      <c r="AN343" s="14" t="s">
        <v>166</v>
      </c>
    </row>
    <row r="344" spans="1:40" ht="47.25" x14ac:dyDescent="0.25">
      <c r="A344" s="12" t="s">
        <v>1601</v>
      </c>
      <c r="B344" s="12" t="s">
        <v>1602</v>
      </c>
      <c r="C344" s="12" t="s">
        <v>1134</v>
      </c>
      <c r="D344" s="13" t="s">
        <v>30</v>
      </c>
      <c r="E344" s="13" t="s">
        <v>30</v>
      </c>
      <c r="F344" s="13">
        <v>5317</v>
      </c>
      <c r="G344" s="13" t="s">
        <v>31</v>
      </c>
      <c r="H344" s="13" t="s">
        <v>820</v>
      </c>
      <c r="I344" s="12"/>
      <c r="J344" s="13">
        <v>679174344</v>
      </c>
      <c r="K344" s="13"/>
      <c r="L344" s="13" t="s">
        <v>821</v>
      </c>
      <c r="M344" s="14" t="s">
        <v>1073</v>
      </c>
      <c r="N344" s="13" t="s">
        <v>1068</v>
      </c>
      <c r="O344" s="12" t="s">
        <v>67</v>
      </c>
      <c r="P344" s="12" t="s">
        <v>174</v>
      </c>
      <c r="Q344" s="12" t="s">
        <v>868</v>
      </c>
      <c r="R344" s="12" t="s">
        <v>174</v>
      </c>
      <c r="S344" s="14" t="s">
        <v>166</v>
      </c>
      <c r="T344" s="12" t="s">
        <v>1110</v>
      </c>
      <c r="U344" s="14" t="s">
        <v>780</v>
      </c>
      <c r="V344" s="14"/>
      <c r="W344" s="14"/>
      <c r="X344" s="12"/>
      <c r="Y344" s="12"/>
      <c r="Z344" s="14"/>
      <c r="AA344" s="12"/>
      <c r="AB344" s="15"/>
      <c r="AC344" s="16" t="s">
        <v>111</v>
      </c>
      <c r="AD344" s="16">
        <v>0</v>
      </c>
      <c r="AE344" s="16">
        <v>0</v>
      </c>
      <c r="AF344" s="16">
        <v>0</v>
      </c>
      <c r="AG344" s="16">
        <v>0</v>
      </c>
      <c r="AH344" s="14" t="s">
        <v>1149</v>
      </c>
      <c r="AI344" s="54">
        <v>0</v>
      </c>
      <c r="AJ344" s="54">
        <v>0</v>
      </c>
      <c r="AK344" s="54">
        <v>0</v>
      </c>
      <c r="AL344" s="54">
        <v>1</v>
      </c>
      <c r="AM344" s="54">
        <v>1</v>
      </c>
      <c r="AN344" s="14" t="s">
        <v>166</v>
      </c>
    </row>
    <row r="345" spans="1:40" ht="47.25" x14ac:dyDescent="0.25">
      <c r="A345" s="12" t="s">
        <v>1601</v>
      </c>
      <c r="B345" s="12" t="s">
        <v>1602</v>
      </c>
      <c r="C345" s="12" t="s">
        <v>1134</v>
      </c>
      <c r="D345" s="13" t="s">
        <v>30</v>
      </c>
      <c r="E345" s="13" t="s">
        <v>30</v>
      </c>
      <c r="F345" s="13">
        <v>1875</v>
      </c>
      <c r="G345" s="13" t="s">
        <v>31</v>
      </c>
      <c r="H345" s="13" t="s">
        <v>568</v>
      </c>
      <c r="I345" s="12"/>
      <c r="J345" s="13">
        <v>636803216</v>
      </c>
      <c r="K345" s="13"/>
      <c r="L345" s="13" t="s">
        <v>569</v>
      </c>
      <c r="M345" s="14" t="s">
        <v>1073</v>
      </c>
      <c r="N345" s="13" t="s">
        <v>1068</v>
      </c>
      <c r="O345" s="12">
        <v>2</v>
      </c>
      <c r="P345" s="12" t="s">
        <v>174</v>
      </c>
      <c r="Q345" s="12" t="s">
        <v>868</v>
      </c>
      <c r="R345" s="12" t="s">
        <v>174</v>
      </c>
      <c r="S345" s="14" t="s">
        <v>166</v>
      </c>
      <c r="T345" s="12" t="s">
        <v>1110</v>
      </c>
      <c r="U345" s="14" t="s">
        <v>780</v>
      </c>
      <c r="V345" s="14"/>
      <c r="W345" s="14"/>
      <c r="X345" s="12"/>
      <c r="Y345" s="12"/>
      <c r="Z345" s="14"/>
      <c r="AA345" s="12"/>
      <c r="AB345" s="15"/>
      <c r="AC345" s="16" t="s">
        <v>111</v>
      </c>
      <c r="AD345" s="16">
        <v>0</v>
      </c>
      <c r="AE345" s="16">
        <v>0</v>
      </c>
      <c r="AF345" s="16">
        <v>0</v>
      </c>
      <c r="AG345" s="16">
        <v>0</v>
      </c>
      <c r="AH345" s="14" t="s">
        <v>1149</v>
      </c>
      <c r="AI345" s="54">
        <v>0</v>
      </c>
      <c r="AJ345" s="54">
        <v>0</v>
      </c>
      <c r="AK345" s="54">
        <v>0</v>
      </c>
      <c r="AL345" s="54">
        <v>0</v>
      </c>
      <c r="AM345" s="54">
        <v>0</v>
      </c>
      <c r="AN345" s="14" t="s">
        <v>174</v>
      </c>
    </row>
    <row r="346" spans="1:40" ht="94.5" x14ac:dyDescent="0.25">
      <c r="A346" s="12" t="s">
        <v>1603</v>
      </c>
      <c r="B346" s="12" t="s">
        <v>1604</v>
      </c>
      <c r="C346" s="12" t="s">
        <v>1134</v>
      </c>
      <c r="D346" s="13" t="s">
        <v>73</v>
      </c>
      <c r="E346" s="13" t="s">
        <v>74</v>
      </c>
      <c r="F346" s="13">
        <v>2413</v>
      </c>
      <c r="G346" s="13" t="s">
        <v>34</v>
      </c>
      <c r="H346" s="13" t="s">
        <v>375</v>
      </c>
      <c r="I346" s="12"/>
      <c r="J346" s="13">
        <v>676359436</v>
      </c>
      <c r="K346" s="13"/>
      <c r="L346" s="13" t="s">
        <v>376</v>
      </c>
      <c r="M346" s="14" t="s">
        <v>153</v>
      </c>
      <c r="N346" s="13" t="s">
        <v>152</v>
      </c>
      <c r="O346" s="12" t="s">
        <v>67</v>
      </c>
      <c r="P346" s="12" t="s">
        <v>174</v>
      </c>
      <c r="Q346" s="12" t="s">
        <v>868</v>
      </c>
      <c r="R346" s="12" t="s">
        <v>174</v>
      </c>
      <c r="S346" s="14" t="s">
        <v>166</v>
      </c>
      <c r="T346" s="12" t="s">
        <v>174</v>
      </c>
      <c r="U346" s="14" t="s">
        <v>782</v>
      </c>
      <c r="V346" s="14"/>
      <c r="W346" s="14"/>
      <c r="X346" s="12"/>
      <c r="Y346" s="12"/>
      <c r="Z346" s="14"/>
      <c r="AA346" s="12"/>
      <c r="AB346" s="15"/>
      <c r="AC346" s="16">
        <v>0</v>
      </c>
      <c r="AD346" s="16">
        <v>0</v>
      </c>
      <c r="AE346" s="16">
        <v>1</v>
      </c>
      <c r="AF346" s="16">
        <v>0</v>
      </c>
      <c r="AG346" s="16">
        <v>0</v>
      </c>
      <c r="AH346" s="14" t="s">
        <v>166</v>
      </c>
      <c r="AI346" s="54">
        <v>0</v>
      </c>
      <c r="AJ346" s="54">
        <v>0</v>
      </c>
      <c r="AK346" s="54">
        <v>1</v>
      </c>
      <c r="AL346" s="54">
        <v>0</v>
      </c>
      <c r="AM346" s="54">
        <v>0</v>
      </c>
      <c r="AN346" s="14" t="s">
        <v>166</v>
      </c>
    </row>
    <row r="347" spans="1:40" ht="47.25" x14ac:dyDescent="0.25">
      <c r="A347" s="12" t="s">
        <v>1605</v>
      </c>
      <c r="B347" s="12" t="s">
        <v>1606</v>
      </c>
      <c r="C347" s="12" t="s">
        <v>1134</v>
      </c>
      <c r="D347" s="13" t="s">
        <v>75</v>
      </c>
      <c r="E347" s="13" t="s">
        <v>76</v>
      </c>
      <c r="F347" s="13">
        <v>1533</v>
      </c>
      <c r="G347" s="13" t="s">
        <v>34</v>
      </c>
      <c r="H347" s="13" t="s">
        <v>348</v>
      </c>
      <c r="I347" s="12"/>
      <c r="J347" s="13">
        <v>649882481</v>
      </c>
      <c r="K347" s="13"/>
      <c r="L347" s="13" t="s">
        <v>349</v>
      </c>
      <c r="M347" s="14" t="s">
        <v>1073</v>
      </c>
      <c r="N347" s="13" t="s">
        <v>1068</v>
      </c>
      <c r="O347" s="12" t="s">
        <v>53</v>
      </c>
      <c r="P347" s="12" t="s">
        <v>174</v>
      </c>
      <c r="Q347" s="12" t="s">
        <v>868</v>
      </c>
      <c r="R347" s="12" t="s">
        <v>174</v>
      </c>
      <c r="S347" s="14" t="s">
        <v>166</v>
      </c>
      <c r="T347" s="12" t="s">
        <v>174</v>
      </c>
      <c r="U347" s="14" t="s">
        <v>780</v>
      </c>
      <c r="V347" s="14"/>
      <c r="W347" s="14"/>
      <c r="X347" s="12"/>
      <c r="Y347" s="12"/>
      <c r="Z347" s="14"/>
      <c r="AA347" s="12"/>
      <c r="AB347" s="15"/>
      <c r="AC347" s="16">
        <v>0</v>
      </c>
      <c r="AD347" s="16">
        <v>1</v>
      </c>
      <c r="AE347" s="16">
        <v>0</v>
      </c>
      <c r="AF347" s="16">
        <v>0</v>
      </c>
      <c r="AG347" s="16">
        <v>0</v>
      </c>
      <c r="AH347" s="14" t="s">
        <v>166</v>
      </c>
      <c r="AI347" s="54">
        <v>0</v>
      </c>
      <c r="AJ347" s="54">
        <v>1</v>
      </c>
      <c r="AK347" s="54">
        <v>0</v>
      </c>
      <c r="AL347" s="54">
        <v>0</v>
      </c>
      <c r="AM347" s="54">
        <v>0</v>
      </c>
      <c r="AN347" s="14" t="s">
        <v>166</v>
      </c>
    </row>
    <row r="348" spans="1:40" ht="47.25" x14ac:dyDescent="0.25">
      <c r="A348" s="12" t="s">
        <v>1607</v>
      </c>
      <c r="B348" s="12" t="s">
        <v>1608</v>
      </c>
      <c r="C348" s="12" t="s">
        <v>1134</v>
      </c>
      <c r="D348" s="13" t="s">
        <v>75</v>
      </c>
      <c r="E348" s="13" t="s">
        <v>76</v>
      </c>
      <c r="F348" s="13">
        <v>1866</v>
      </c>
      <c r="G348" s="13" t="s">
        <v>55</v>
      </c>
      <c r="H348" s="13" t="s">
        <v>336</v>
      </c>
      <c r="I348" s="12"/>
      <c r="J348" s="13">
        <v>650118307</v>
      </c>
      <c r="K348" s="13"/>
      <c r="L348" s="13" t="s">
        <v>337</v>
      </c>
      <c r="M348" s="14" t="s">
        <v>1116</v>
      </c>
      <c r="N348" s="13" t="s">
        <v>1107</v>
      </c>
      <c r="O348" s="12" t="s">
        <v>53</v>
      </c>
      <c r="P348" s="12" t="s">
        <v>174</v>
      </c>
      <c r="Q348" s="12" t="s">
        <v>868</v>
      </c>
      <c r="R348" s="12" t="s">
        <v>174</v>
      </c>
      <c r="S348" s="14" t="s">
        <v>166</v>
      </c>
      <c r="T348" s="12" t="s">
        <v>174</v>
      </c>
      <c r="U348" s="14" t="s">
        <v>1078</v>
      </c>
      <c r="V348" s="14"/>
      <c r="W348" s="14"/>
      <c r="X348" s="12"/>
      <c r="Y348" s="12"/>
      <c r="Z348" s="14"/>
      <c r="AA348" s="12"/>
      <c r="AB348" s="15"/>
      <c r="AC348" s="16">
        <v>0</v>
      </c>
      <c r="AD348" s="16">
        <v>0</v>
      </c>
      <c r="AE348" s="16">
        <v>0</v>
      </c>
      <c r="AF348" s="16">
        <v>0</v>
      </c>
      <c r="AG348" s="16">
        <v>1</v>
      </c>
      <c r="AH348" s="14" t="s">
        <v>166</v>
      </c>
      <c r="AI348" s="54">
        <v>0</v>
      </c>
      <c r="AJ348" s="54">
        <v>0</v>
      </c>
      <c r="AK348" s="54">
        <v>0</v>
      </c>
      <c r="AL348" s="54">
        <v>1</v>
      </c>
      <c r="AM348" s="54">
        <v>1</v>
      </c>
      <c r="AN348" s="14" t="s">
        <v>166</v>
      </c>
    </row>
    <row r="349" spans="1:40" ht="47.25" x14ac:dyDescent="0.25">
      <c r="A349" s="12" t="s">
        <v>1609</v>
      </c>
      <c r="B349" s="12" t="s">
        <v>1610</v>
      </c>
      <c r="C349" s="12" t="s">
        <v>1134</v>
      </c>
      <c r="D349" s="13" t="s">
        <v>77</v>
      </c>
      <c r="E349" s="13" t="s">
        <v>78</v>
      </c>
      <c r="F349" s="13">
        <v>3586</v>
      </c>
      <c r="G349" s="13" t="s">
        <v>55</v>
      </c>
      <c r="H349" s="13" t="s">
        <v>326</v>
      </c>
      <c r="I349" s="12"/>
      <c r="J349" s="13">
        <v>669628675</v>
      </c>
      <c r="K349" s="13"/>
      <c r="L349" s="13" t="s">
        <v>921</v>
      </c>
      <c r="M349" s="14" t="s">
        <v>153</v>
      </c>
      <c r="N349" s="13" t="s">
        <v>152</v>
      </c>
      <c r="O349" s="12">
        <v>2</v>
      </c>
      <c r="P349" s="12" t="s">
        <v>1045</v>
      </c>
      <c r="Q349" s="12" t="s">
        <v>174</v>
      </c>
      <c r="R349" s="12" t="s">
        <v>174</v>
      </c>
      <c r="S349" s="14" t="s">
        <v>166</v>
      </c>
      <c r="T349" s="12" t="s">
        <v>1110</v>
      </c>
      <c r="U349" s="14" t="s">
        <v>782</v>
      </c>
      <c r="V349" s="14"/>
      <c r="W349" s="14"/>
      <c r="X349" s="12"/>
      <c r="Y349" s="12"/>
      <c r="Z349" s="14"/>
      <c r="AA349" s="12"/>
      <c r="AB349" s="15"/>
      <c r="AC349" s="16">
        <v>0</v>
      </c>
      <c r="AD349" s="16">
        <v>0</v>
      </c>
      <c r="AE349" s="16">
        <v>0</v>
      </c>
      <c r="AF349" s="16">
        <v>0</v>
      </c>
      <c r="AG349" s="16">
        <v>0</v>
      </c>
      <c r="AH349" s="14" t="s">
        <v>174</v>
      </c>
      <c r="AI349" s="54">
        <v>0</v>
      </c>
      <c r="AJ349" s="54">
        <v>0</v>
      </c>
      <c r="AK349" s="54">
        <v>0</v>
      </c>
      <c r="AL349" s="54">
        <v>0</v>
      </c>
      <c r="AM349" s="54">
        <v>1</v>
      </c>
      <c r="AN349" s="14" t="s">
        <v>166</v>
      </c>
    </row>
    <row r="350" spans="1:40" ht="47.25" x14ac:dyDescent="0.25">
      <c r="A350" s="12" t="s">
        <v>1611</v>
      </c>
      <c r="B350" s="12" t="s">
        <v>1612</v>
      </c>
      <c r="C350" s="12" t="s">
        <v>1134</v>
      </c>
      <c r="D350" s="13" t="s">
        <v>79</v>
      </c>
      <c r="E350" s="13" t="s">
        <v>74</v>
      </c>
      <c r="F350" s="13">
        <v>3670</v>
      </c>
      <c r="G350" s="13" t="s">
        <v>40</v>
      </c>
      <c r="H350" s="13" t="s">
        <v>324</v>
      </c>
      <c r="I350" s="12"/>
      <c r="J350" s="13">
        <v>659128655</v>
      </c>
      <c r="K350" s="13"/>
      <c r="L350" s="13" t="s">
        <v>325</v>
      </c>
      <c r="M350" s="14" t="s">
        <v>153</v>
      </c>
      <c r="N350" s="13" t="s">
        <v>152</v>
      </c>
      <c r="O350" s="12" t="s">
        <v>53</v>
      </c>
      <c r="P350" s="12" t="s">
        <v>1045</v>
      </c>
      <c r="Q350" s="12" t="s">
        <v>174</v>
      </c>
      <c r="R350" s="12" t="s">
        <v>174</v>
      </c>
      <c r="S350" s="14" t="s">
        <v>166</v>
      </c>
      <c r="T350" s="12" t="s">
        <v>174</v>
      </c>
      <c r="U350" s="14" t="s">
        <v>782</v>
      </c>
      <c r="V350" s="14"/>
      <c r="W350" s="14"/>
      <c r="X350" s="12"/>
      <c r="Y350" s="12"/>
      <c r="Z350" s="14"/>
      <c r="AA350" s="12"/>
      <c r="AB350" s="15"/>
      <c r="AC350" s="16">
        <v>0</v>
      </c>
      <c r="AD350" s="16">
        <v>0</v>
      </c>
      <c r="AE350" s="16">
        <v>0</v>
      </c>
      <c r="AF350" s="16">
        <v>1</v>
      </c>
      <c r="AG350" s="16">
        <v>0</v>
      </c>
      <c r="AH350" s="14" t="s">
        <v>166</v>
      </c>
      <c r="AI350" s="54">
        <v>0</v>
      </c>
      <c r="AJ350" s="54">
        <v>0</v>
      </c>
      <c r="AK350" s="54">
        <v>0</v>
      </c>
      <c r="AL350" s="54">
        <v>1</v>
      </c>
      <c r="AM350" s="54">
        <v>0</v>
      </c>
      <c r="AN350" s="14" t="s">
        <v>166</v>
      </c>
    </row>
    <row r="351" spans="1:40" ht="47.25" x14ac:dyDescent="0.25">
      <c r="A351" s="12" t="s">
        <v>1611</v>
      </c>
      <c r="B351" s="12" t="s">
        <v>1612</v>
      </c>
      <c r="C351" s="12" t="s">
        <v>1134</v>
      </c>
      <c r="D351" s="13" t="s">
        <v>79</v>
      </c>
      <c r="E351" s="13" t="s">
        <v>74</v>
      </c>
      <c r="F351" s="13">
        <v>2385</v>
      </c>
      <c r="G351" s="13" t="s">
        <v>40</v>
      </c>
      <c r="H351" s="13" t="s">
        <v>395</v>
      </c>
      <c r="I351" s="12"/>
      <c r="J351" s="13">
        <v>636372134</v>
      </c>
      <c r="K351" s="13"/>
      <c r="L351" s="13" t="s">
        <v>396</v>
      </c>
      <c r="M351" s="14" t="s">
        <v>153</v>
      </c>
      <c r="N351" s="13" t="s">
        <v>152</v>
      </c>
      <c r="O351" s="12" t="s">
        <v>53</v>
      </c>
      <c r="P351" s="12" t="s">
        <v>174</v>
      </c>
      <c r="Q351" s="12" t="s">
        <v>868</v>
      </c>
      <c r="R351" s="12" t="s">
        <v>174</v>
      </c>
      <c r="S351" s="14" t="s">
        <v>166</v>
      </c>
      <c r="T351" s="12" t="s">
        <v>1110</v>
      </c>
      <c r="U351" s="14" t="s">
        <v>782</v>
      </c>
      <c r="V351" s="14"/>
      <c r="W351" s="14"/>
      <c r="X351" s="12"/>
      <c r="Y351" s="12"/>
      <c r="Z351" s="14"/>
      <c r="AA351" s="12"/>
      <c r="AB351" s="15"/>
      <c r="AC351" s="16">
        <v>0</v>
      </c>
      <c r="AD351" s="16">
        <v>0</v>
      </c>
      <c r="AE351" s="16">
        <v>1</v>
      </c>
      <c r="AF351" s="16">
        <v>0</v>
      </c>
      <c r="AG351" s="16">
        <v>0</v>
      </c>
      <c r="AH351" s="14" t="s">
        <v>166</v>
      </c>
      <c r="AI351" s="54">
        <v>0</v>
      </c>
      <c r="AJ351" s="54">
        <v>0</v>
      </c>
      <c r="AK351" s="54">
        <v>1</v>
      </c>
      <c r="AL351" s="54">
        <v>0</v>
      </c>
      <c r="AM351" s="54">
        <v>0</v>
      </c>
      <c r="AN351" s="14" t="s">
        <v>166</v>
      </c>
    </row>
    <row r="352" spans="1:40" ht="47.25" x14ac:dyDescent="0.25">
      <c r="A352" s="12" t="s">
        <v>1611</v>
      </c>
      <c r="B352" s="12" t="s">
        <v>1612</v>
      </c>
      <c r="C352" s="12" t="s">
        <v>1134</v>
      </c>
      <c r="D352" s="13" t="s">
        <v>79</v>
      </c>
      <c r="E352" s="13" t="s">
        <v>74</v>
      </c>
      <c r="F352" s="13">
        <v>2458</v>
      </c>
      <c r="G352" s="13" t="s">
        <v>40</v>
      </c>
      <c r="H352" s="13" t="s">
        <v>391</v>
      </c>
      <c r="I352" s="12"/>
      <c r="J352" s="13">
        <v>679300167</v>
      </c>
      <c r="K352" s="13"/>
      <c r="L352" s="13" t="s">
        <v>392</v>
      </c>
      <c r="M352" s="14" t="s">
        <v>153</v>
      </c>
      <c r="N352" s="13" t="s">
        <v>152</v>
      </c>
      <c r="O352" s="12" t="s">
        <v>53</v>
      </c>
      <c r="P352" s="12" t="s">
        <v>1045</v>
      </c>
      <c r="Q352" s="12" t="s">
        <v>174</v>
      </c>
      <c r="R352" s="12" t="s">
        <v>174</v>
      </c>
      <c r="S352" s="14" t="s">
        <v>166</v>
      </c>
      <c r="T352" s="12" t="s">
        <v>174</v>
      </c>
      <c r="U352" s="14" t="s">
        <v>782</v>
      </c>
      <c r="V352" s="14"/>
      <c r="W352" s="14"/>
      <c r="X352" s="12"/>
      <c r="Y352" s="12"/>
      <c r="Z352" s="14"/>
      <c r="AA352" s="12"/>
      <c r="AB352" s="15"/>
      <c r="AC352" s="16">
        <v>0</v>
      </c>
      <c r="AD352" s="16">
        <v>0</v>
      </c>
      <c r="AE352" s="16">
        <v>0</v>
      </c>
      <c r="AF352" s="16">
        <v>1</v>
      </c>
      <c r="AG352" s="16">
        <v>0</v>
      </c>
      <c r="AH352" s="14" t="s">
        <v>166</v>
      </c>
      <c r="AI352" s="54">
        <v>0</v>
      </c>
      <c r="AJ352" s="54">
        <v>0</v>
      </c>
      <c r="AK352" s="54">
        <v>0</v>
      </c>
      <c r="AL352" s="54">
        <v>1</v>
      </c>
      <c r="AM352" s="54">
        <v>0</v>
      </c>
      <c r="AN352" s="14" t="s">
        <v>166</v>
      </c>
    </row>
    <row r="353" spans="1:40" ht="78.75" x14ac:dyDescent="0.25">
      <c r="A353" s="12" t="s">
        <v>1613</v>
      </c>
      <c r="B353" s="12" t="s">
        <v>1614</v>
      </c>
      <c r="C353" s="12" t="s">
        <v>1134</v>
      </c>
      <c r="D353" s="13" t="s">
        <v>80</v>
      </c>
      <c r="E353" s="13" t="s">
        <v>81</v>
      </c>
      <c r="F353" s="13">
        <v>1531</v>
      </c>
      <c r="G353" s="13" t="s">
        <v>40</v>
      </c>
      <c r="H353" s="13" t="s">
        <v>342</v>
      </c>
      <c r="I353" s="12"/>
      <c r="J353" s="13">
        <v>606710456</v>
      </c>
      <c r="K353" s="13"/>
      <c r="L353" s="13" t="s">
        <v>343</v>
      </c>
      <c r="M353" s="14" t="s">
        <v>1073</v>
      </c>
      <c r="N353" s="13" t="s">
        <v>1068</v>
      </c>
      <c r="O353" s="12" t="s">
        <v>53</v>
      </c>
      <c r="P353" s="12" t="s">
        <v>174</v>
      </c>
      <c r="Q353" s="12" t="s">
        <v>868</v>
      </c>
      <c r="R353" s="12" t="s">
        <v>174</v>
      </c>
      <c r="S353" s="14" t="s">
        <v>166</v>
      </c>
      <c r="T353" s="12" t="s">
        <v>1110</v>
      </c>
      <c r="U353" s="14" t="s">
        <v>780</v>
      </c>
      <c r="V353" s="14"/>
      <c r="W353" s="14"/>
      <c r="X353" s="12"/>
      <c r="Y353" s="12"/>
      <c r="Z353" s="14"/>
      <c r="AA353" s="12"/>
      <c r="AB353" s="15"/>
      <c r="AC353" s="16">
        <v>1</v>
      </c>
      <c r="AD353" s="16">
        <v>1</v>
      </c>
      <c r="AE353" s="16">
        <v>0</v>
      </c>
      <c r="AF353" s="16">
        <v>0</v>
      </c>
      <c r="AG353" s="16">
        <v>0</v>
      </c>
      <c r="AH353" s="14" t="s">
        <v>166</v>
      </c>
      <c r="AI353" s="54">
        <v>1</v>
      </c>
      <c r="AJ353" s="54">
        <v>1</v>
      </c>
      <c r="AK353" s="54">
        <v>0</v>
      </c>
      <c r="AL353" s="54">
        <v>0</v>
      </c>
      <c r="AM353" s="54">
        <v>0</v>
      </c>
      <c r="AN353" s="14" t="s">
        <v>166</v>
      </c>
    </row>
    <row r="354" spans="1:40" ht="78.75" x14ac:dyDescent="0.25">
      <c r="A354" s="12" t="s">
        <v>1613</v>
      </c>
      <c r="B354" s="12" t="s">
        <v>1614</v>
      </c>
      <c r="C354" s="12" t="s">
        <v>1134</v>
      </c>
      <c r="D354" s="13" t="s">
        <v>80</v>
      </c>
      <c r="E354" s="13" t="s">
        <v>81</v>
      </c>
      <c r="F354" s="13">
        <v>1968</v>
      </c>
      <c r="G354" s="13" t="s">
        <v>40</v>
      </c>
      <c r="H354" s="13" t="s">
        <v>346</v>
      </c>
      <c r="I354" s="12"/>
      <c r="J354" s="13">
        <v>686407053</v>
      </c>
      <c r="K354" s="13"/>
      <c r="L354" s="13" t="s">
        <v>347</v>
      </c>
      <c r="M354" s="14" t="s">
        <v>1073</v>
      </c>
      <c r="N354" s="13" t="s">
        <v>1068</v>
      </c>
      <c r="O354" s="12" t="s">
        <v>53</v>
      </c>
      <c r="P354" s="12" t="s">
        <v>174</v>
      </c>
      <c r="Q354" s="12" t="s">
        <v>868</v>
      </c>
      <c r="R354" s="12" t="s">
        <v>174</v>
      </c>
      <c r="S354" s="14" t="s">
        <v>166</v>
      </c>
      <c r="T354" s="12" t="s">
        <v>1110</v>
      </c>
      <c r="U354" s="14" t="s">
        <v>780</v>
      </c>
      <c r="V354" s="14"/>
      <c r="W354" s="14"/>
      <c r="X354" s="12"/>
      <c r="Y354" s="12"/>
      <c r="Z354" s="14"/>
      <c r="AA354" s="12"/>
      <c r="AB354" s="15"/>
      <c r="AC354" s="16">
        <v>0</v>
      </c>
      <c r="AD354" s="16">
        <v>0</v>
      </c>
      <c r="AE354" s="16">
        <v>0</v>
      </c>
      <c r="AF354" s="16">
        <v>1</v>
      </c>
      <c r="AG354" s="16">
        <v>0</v>
      </c>
      <c r="AH354" s="14" t="s">
        <v>166</v>
      </c>
      <c r="AI354" s="54">
        <v>0</v>
      </c>
      <c r="AJ354" s="54">
        <v>0</v>
      </c>
      <c r="AK354" s="54">
        <v>0</v>
      </c>
      <c r="AL354" s="54">
        <v>1</v>
      </c>
      <c r="AM354" s="54">
        <v>0</v>
      </c>
      <c r="AN354" s="14" t="s">
        <v>166</v>
      </c>
    </row>
    <row r="355" spans="1:40" ht="78.75" x14ac:dyDescent="0.25">
      <c r="A355" s="12" t="s">
        <v>1613</v>
      </c>
      <c r="B355" s="12" t="s">
        <v>1614</v>
      </c>
      <c r="C355" s="12" t="s">
        <v>1134</v>
      </c>
      <c r="D355" s="13" t="s">
        <v>80</v>
      </c>
      <c r="E355" s="13" t="s">
        <v>81</v>
      </c>
      <c r="F355" s="13">
        <v>366</v>
      </c>
      <c r="G355" s="13" t="s">
        <v>40</v>
      </c>
      <c r="H355" s="13" t="s">
        <v>340</v>
      </c>
      <c r="I355" s="12"/>
      <c r="J355" s="13">
        <v>660732892</v>
      </c>
      <c r="K355" s="13"/>
      <c r="L355" s="13" t="s">
        <v>341</v>
      </c>
      <c r="M355" s="14" t="s">
        <v>1074</v>
      </c>
      <c r="N355" s="13" t="s">
        <v>1069</v>
      </c>
      <c r="O355" s="12" t="s">
        <v>53</v>
      </c>
      <c r="P355" s="12" t="s">
        <v>174</v>
      </c>
      <c r="Q355" s="12" t="s">
        <v>868</v>
      </c>
      <c r="R355" s="12" t="s">
        <v>174</v>
      </c>
      <c r="S355" s="14" t="s">
        <v>166</v>
      </c>
      <c r="T355" s="12" t="s">
        <v>1110</v>
      </c>
      <c r="U355" s="14" t="s">
        <v>781</v>
      </c>
      <c r="V355" s="14"/>
      <c r="W355" s="14"/>
      <c r="X355" s="12"/>
      <c r="Y355" s="12"/>
      <c r="Z355" s="14"/>
      <c r="AA355" s="12"/>
      <c r="AB355" s="15"/>
      <c r="AC355" s="16">
        <v>0</v>
      </c>
      <c r="AD355" s="16">
        <v>0</v>
      </c>
      <c r="AE355" s="16">
        <v>0</v>
      </c>
      <c r="AF355" s="16">
        <v>1</v>
      </c>
      <c r="AG355" s="16">
        <v>0</v>
      </c>
      <c r="AH355" s="14" t="s">
        <v>166</v>
      </c>
      <c r="AI355" s="54">
        <v>0</v>
      </c>
      <c r="AJ355" s="54">
        <v>0</v>
      </c>
      <c r="AK355" s="54">
        <v>0</v>
      </c>
      <c r="AL355" s="54">
        <v>1</v>
      </c>
      <c r="AM355" s="54">
        <v>0</v>
      </c>
      <c r="AN355" s="14" t="s">
        <v>166</v>
      </c>
    </row>
    <row r="356" spans="1:40" ht="47.25" x14ac:dyDescent="0.25">
      <c r="A356" s="12" t="s">
        <v>1615</v>
      </c>
      <c r="B356" s="12" t="s">
        <v>1616</v>
      </c>
      <c r="C356" s="12" t="s">
        <v>1134</v>
      </c>
      <c r="D356" s="13" t="s">
        <v>82</v>
      </c>
      <c r="E356" s="13" t="s">
        <v>83</v>
      </c>
      <c r="F356" s="13">
        <v>2314</v>
      </c>
      <c r="G356" s="13" t="s">
        <v>40</v>
      </c>
      <c r="H356" s="13" t="s">
        <v>379</v>
      </c>
      <c r="I356" s="12"/>
      <c r="J356" s="13">
        <v>689464427</v>
      </c>
      <c r="K356" s="13"/>
      <c r="L356" s="13" t="s">
        <v>380</v>
      </c>
      <c r="M356" s="14" t="s">
        <v>153</v>
      </c>
      <c r="N356" s="13" t="s">
        <v>152</v>
      </c>
      <c r="O356" s="12" t="s">
        <v>53</v>
      </c>
      <c r="P356" s="12" t="s">
        <v>174</v>
      </c>
      <c r="Q356" s="12" t="s">
        <v>868</v>
      </c>
      <c r="R356" s="12" t="s">
        <v>174</v>
      </c>
      <c r="S356" s="14" t="s">
        <v>166</v>
      </c>
      <c r="T356" s="12" t="s">
        <v>1110</v>
      </c>
      <c r="U356" s="14" t="s">
        <v>782</v>
      </c>
      <c r="V356" s="14"/>
      <c r="W356" s="14"/>
      <c r="X356" s="12"/>
      <c r="Y356" s="12"/>
      <c r="Z356" s="14"/>
      <c r="AA356" s="12"/>
      <c r="AB356" s="15"/>
      <c r="AC356" s="16">
        <v>0</v>
      </c>
      <c r="AD356" s="16">
        <v>0</v>
      </c>
      <c r="AE356" s="16">
        <v>1</v>
      </c>
      <c r="AF356" s="16">
        <v>0</v>
      </c>
      <c r="AG356" s="16">
        <v>0</v>
      </c>
      <c r="AH356" s="14" t="s">
        <v>166</v>
      </c>
      <c r="AI356" s="54">
        <v>0</v>
      </c>
      <c r="AJ356" s="54">
        <v>0</v>
      </c>
      <c r="AK356" s="54">
        <v>1</v>
      </c>
      <c r="AL356" s="54">
        <v>0</v>
      </c>
      <c r="AM356" s="54">
        <v>0</v>
      </c>
      <c r="AN356" s="14" t="s">
        <v>166</v>
      </c>
    </row>
    <row r="357" spans="1:40" ht="47.25" x14ac:dyDescent="0.25">
      <c r="A357" s="12" t="s">
        <v>1617</v>
      </c>
      <c r="B357" s="12" t="s">
        <v>1618</v>
      </c>
      <c r="C357" s="12" t="s">
        <v>1134</v>
      </c>
      <c r="D357" s="13" t="s">
        <v>84</v>
      </c>
      <c r="E357" s="13" t="s">
        <v>83</v>
      </c>
      <c r="F357" s="13">
        <v>2372</v>
      </c>
      <c r="G357" s="13" t="s">
        <v>40</v>
      </c>
      <c r="H357" s="13" t="s">
        <v>371</v>
      </c>
      <c r="I357" s="12"/>
      <c r="J357" s="13">
        <v>683252037</v>
      </c>
      <c r="K357" s="13"/>
      <c r="L357" s="13" t="s">
        <v>372</v>
      </c>
      <c r="M357" s="14" t="s">
        <v>153</v>
      </c>
      <c r="N357" s="13" t="s">
        <v>152</v>
      </c>
      <c r="O357" s="12">
        <v>2</v>
      </c>
      <c r="P357" s="12" t="s">
        <v>174</v>
      </c>
      <c r="Q357" s="12" t="s">
        <v>868</v>
      </c>
      <c r="R357" s="12" t="s">
        <v>174</v>
      </c>
      <c r="S357" s="14" t="s">
        <v>166</v>
      </c>
      <c r="T357" s="12" t="s">
        <v>174</v>
      </c>
      <c r="U357" s="14" t="s">
        <v>782</v>
      </c>
      <c r="V357" s="14"/>
      <c r="W357" s="14"/>
      <c r="X357" s="12"/>
      <c r="Y357" s="12"/>
      <c r="Z357" s="14"/>
      <c r="AA357" s="12"/>
      <c r="AB357" s="15"/>
      <c r="AC357" s="16">
        <v>0</v>
      </c>
      <c r="AD357" s="16">
        <v>0</v>
      </c>
      <c r="AE357" s="16">
        <v>1</v>
      </c>
      <c r="AF357" s="16">
        <v>0</v>
      </c>
      <c r="AG357" s="16">
        <v>0</v>
      </c>
      <c r="AH357" s="14" t="s">
        <v>166</v>
      </c>
      <c r="AI357" s="54">
        <v>0</v>
      </c>
      <c r="AJ357" s="54">
        <v>0</v>
      </c>
      <c r="AK357" s="54">
        <v>1</v>
      </c>
      <c r="AL357" s="54">
        <v>0</v>
      </c>
      <c r="AM357" s="54">
        <v>0</v>
      </c>
      <c r="AN357" s="14" t="s">
        <v>166</v>
      </c>
    </row>
    <row r="358" spans="1:40" ht="47.25" x14ac:dyDescent="0.25">
      <c r="A358" s="12" t="s">
        <v>1619</v>
      </c>
      <c r="B358" s="12" t="s">
        <v>1620</v>
      </c>
      <c r="C358" s="12" t="s">
        <v>1134</v>
      </c>
      <c r="D358" s="13" t="s">
        <v>975</v>
      </c>
      <c r="E358" s="13" t="s">
        <v>977</v>
      </c>
      <c r="F358" s="13">
        <v>1808</v>
      </c>
      <c r="G358" s="13" t="s">
        <v>40</v>
      </c>
      <c r="H358" s="13" t="s">
        <v>576</v>
      </c>
      <c r="I358" s="12"/>
      <c r="J358" s="13">
        <v>681395559</v>
      </c>
      <c r="K358" s="13"/>
      <c r="L358" s="13" t="s">
        <v>577</v>
      </c>
      <c r="M358" s="14" t="s">
        <v>1073</v>
      </c>
      <c r="N358" s="13" t="s">
        <v>1068</v>
      </c>
      <c r="O358" s="12">
        <v>2</v>
      </c>
      <c r="P358" s="12" t="s">
        <v>174</v>
      </c>
      <c r="Q358" s="12" t="s">
        <v>868</v>
      </c>
      <c r="R358" s="12" t="s">
        <v>174</v>
      </c>
      <c r="S358" s="14" t="s">
        <v>166</v>
      </c>
      <c r="T358" s="12" t="s">
        <v>1110</v>
      </c>
      <c r="U358" s="14" t="s">
        <v>780</v>
      </c>
      <c r="V358" s="14"/>
      <c r="W358" s="14"/>
      <c r="X358" s="12"/>
      <c r="Y358" s="12"/>
      <c r="Z358" s="14"/>
      <c r="AA358" s="12"/>
      <c r="AB358" s="15"/>
      <c r="AC358" s="16">
        <v>0</v>
      </c>
      <c r="AD358" s="16">
        <v>0</v>
      </c>
      <c r="AE358" s="16">
        <v>1</v>
      </c>
      <c r="AF358" s="16">
        <v>0</v>
      </c>
      <c r="AG358" s="16">
        <v>0</v>
      </c>
      <c r="AH358" s="14" t="s">
        <v>166</v>
      </c>
      <c r="AI358" s="54">
        <v>0</v>
      </c>
      <c r="AJ358" s="54">
        <v>0</v>
      </c>
      <c r="AK358" s="54">
        <v>1</v>
      </c>
      <c r="AL358" s="54">
        <v>1</v>
      </c>
      <c r="AM358" s="54">
        <v>0</v>
      </c>
      <c r="AN358" s="14" t="s">
        <v>166</v>
      </c>
    </row>
    <row r="359" spans="1:40" ht="47.25" x14ac:dyDescent="0.25">
      <c r="A359" s="12" t="s">
        <v>1621</v>
      </c>
      <c r="B359" s="12" t="s">
        <v>1622</v>
      </c>
      <c r="C359" s="12" t="s">
        <v>1134</v>
      </c>
      <c r="D359" s="13" t="s">
        <v>79</v>
      </c>
      <c r="E359" s="13" t="s">
        <v>74</v>
      </c>
      <c r="F359" s="13">
        <v>2434</v>
      </c>
      <c r="G359" s="13" t="s">
        <v>41</v>
      </c>
      <c r="H359" s="13" t="s">
        <v>389</v>
      </c>
      <c r="I359" s="12"/>
      <c r="J359" s="13">
        <v>682559157</v>
      </c>
      <c r="K359" s="13"/>
      <c r="L359" s="13" t="s">
        <v>390</v>
      </c>
      <c r="M359" s="14" t="s">
        <v>153</v>
      </c>
      <c r="N359" s="13" t="s">
        <v>152</v>
      </c>
      <c r="O359" s="12" t="s">
        <v>53</v>
      </c>
      <c r="P359" s="12" t="s">
        <v>1045</v>
      </c>
      <c r="Q359" s="12" t="s">
        <v>174</v>
      </c>
      <c r="R359" s="12" t="s">
        <v>174</v>
      </c>
      <c r="S359" s="14" t="s">
        <v>166</v>
      </c>
      <c r="T359" s="12" t="s">
        <v>174</v>
      </c>
      <c r="U359" s="14" t="s">
        <v>782</v>
      </c>
      <c r="V359" s="14"/>
      <c r="W359" s="14"/>
      <c r="X359" s="12"/>
      <c r="Y359" s="12"/>
      <c r="Z359" s="14"/>
      <c r="AA359" s="12"/>
      <c r="AB359" s="15"/>
      <c r="AC359" s="16">
        <v>0</v>
      </c>
      <c r="AD359" s="16">
        <v>0</v>
      </c>
      <c r="AE359" s="16">
        <v>1</v>
      </c>
      <c r="AF359" s="16">
        <v>0</v>
      </c>
      <c r="AG359" s="16">
        <v>0</v>
      </c>
      <c r="AH359" s="14" t="s">
        <v>166</v>
      </c>
      <c r="AI359" s="54">
        <v>0</v>
      </c>
      <c r="AJ359" s="54">
        <v>0</v>
      </c>
      <c r="AK359" s="54">
        <v>1</v>
      </c>
      <c r="AL359" s="54">
        <v>0</v>
      </c>
      <c r="AM359" s="54">
        <v>0</v>
      </c>
      <c r="AN359" s="14" t="s">
        <v>166</v>
      </c>
    </row>
    <row r="360" spans="1:40" ht="78.75" x14ac:dyDescent="0.25">
      <c r="A360" s="12" t="s">
        <v>1623</v>
      </c>
      <c r="B360" s="12" t="s">
        <v>1624</v>
      </c>
      <c r="C360" s="12" t="s">
        <v>1134</v>
      </c>
      <c r="D360" s="13" t="s">
        <v>80</v>
      </c>
      <c r="E360" s="13" t="s">
        <v>81</v>
      </c>
      <c r="F360" s="13">
        <v>70</v>
      </c>
      <c r="G360" s="13" t="s">
        <v>41</v>
      </c>
      <c r="H360" s="13" t="s">
        <v>338</v>
      </c>
      <c r="I360" s="12"/>
      <c r="J360" s="13">
        <v>669473504</v>
      </c>
      <c r="K360" s="13"/>
      <c r="L360" s="13" t="s">
        <v>339</v>
      </c>
      <c r="M360" s="14" t="s">
        <v>1074</v>
      </c>
      <c r="N360" s="13" t="s">
        <v>1069</v>
      </c>
      <c r="O360" s="12" t="s">
        <v>53</v>
      </c>
      <c r="P360" s="12" t="s">
        <v>174</v>
      </c>
      <c r="Q360" s="12" t="s">
        <v>868</v>
      </c>
      <c r="R360" s="12" t="s">
        <v>174</v>
      </c>
      <c r="S360" s="14" t="s">
        <v>166</v>
      </c>
      <c r="T360" s="12" t="s">
        <v>1110</v>
      </c>
      <c r="U360" s="14" t="s">
        <v>781</v>
      </c>
      <c r="V360" s="14"/>
      <c r="W360" s="14"/>
      <c r="X360" s="12"/>
      <c r="Y360" s="12"/>
      <c r="Z360" s="14"/>
      <c r="AA360" s="12"/>
      <c r="AB360" s="15"/>
      <c r="AC360" s="16">
        <v>0</v>
      </c>
      <c r="AD360" s="16">
        <v>0</v>
      </c>
      <c r="AE360" s="16">
        <v>0</v>
      </c>
      <c r="AF360" s="16">
        <v>1</v>
      </c>
      <c r="AG360" s="16">
        <v>0</v>
      </c>
      <c r="AH360" s="14" t="s">
        <v>166</v>
      </c>
      <c r="AI360" s="54">
        <v>0</v>
      </c>
      <c r="AJ360" s="54">
        <v>0</v>
      </c>
      <c r="AK360" s="54">
        <v>0</v>
      </c>
      <c r="AL360" s="54">
        <v>1</v>
      </c>
      <c r="AM360" s="54">
        <v>0</v>
      </c>
      <c r="AN360" s="14" t="s">
        <v>166</v>
      </c>
    </row>
    <row r="361" spans="1:40" ht="78.75" x14ac:dyDescent="0.25">
      <c r="A361" s="12" t="s">
        <v>1623</v>
      </c>
      <c r="B361" s="12" t="s">
        <v>1624</v>
      </c>
      <c r="C361" s="12" t="s">
        <v>1134</v>
      </c>
      <c r="D361" s="13" t="s">
        <v>80</v>
      </c>
      <c r="E361" s="13" t="s">
        <v>81</v>
      </c>
      <c r="F361" s="13">
        <v>3629</v>
      </c>
      <c r="G361" s="13" t="s">
        <v>41</v>
      </c>
      <c r="H361" s="13" t="s">
        <v>327</v>
      </c>
      <c r="I361" s="12"/>
      <c r="J361" s="13">
        <v>690803141</v>
      </c>
      <c r="K361" s="13"/>
      <c r="L361" s="13" t="s">
        <v>328</v>
      </c>
      <c r="M361" s="14" t="s">
        <v>1073</v>
      </c>
      <c r="N361" s="13" t="s">
        <v>1068</v>
      </c>
      <c r="O361" s="12" t="s">
        <v>53</v>
      </c>
      <c r="P361" s="12" t="s">
        <v>174</v>
      </c>
      <c r="Q361" s="12" t="s">
        <v>868</v>
      </c>
      <c r="R361" s="12" t="s">
        <v>174</v>
      </c>
      <c r="S361" s="14" t="s">
        <v>166</v>
      </c>
      <c r="T361" s="12" t="s">
        <v>1110</v>
      </c>
      <c r="U361" s="14" t="s">
        <v>780</v>
      </c>
      <c r="V361" s="14"/>
      <c r="W361" s="14"/>
      <c r="X361" s="12"/>
      <c r="Y361" s="12"/>
      <c r="Z361" s="14"/>
      <c r="AA361" s="12"/>
      <c r="AB361" s="15"/>
      <c r="AC361" s="16">
        <v>0</v>
      </c>
      <c r="AD361" s="16">
        <v>0</v>
      </c>
      <c r="AE361" s="16">
        <v>0</v>
      </c>
      <c r="AF361" s="16">
        <v>1</v>
      </c>
      <c r="AG361" s="16">
        <v>0</v>
      </c>
      <c r="AH361" s="14" t="s">
        <v>166</v>
      </c>
      <c r="AI361" s="54">
        <v>0</v>
      </c>
      <c r="AJ361" s="54">
        <v>0</v>
      </c>
      <c r="AK361" s="54">
        <v>0</v>
      </c>
      <c r="AL361" s="54">
        <v>1</v>
      </c>
      <c r="AM361" s="54">
        <v>0</v>
      </c>
      <c r="AN361" s="14" t="s">
        <v>166</v>
      </c>
    </row>
    <row r="362" spans="1:40" ht="78.75" x14ac:dyDescent="0.25">
      <c r="A362" s="12" t="s">
        <v>1623</v>
      </c>
      <c r="B362" s="12" t="s">
        <v>1624</v>
      </c>
      <c r="C362" s="12" t="s">
        <v>1134</v>
      </c>
      <c r="D362" s="13" t="s">
        <v>80</v>
      </c>
      <c r="E362" s="13" t="s">
        <v>81</v>
      </c>
      <c r="F362" s="13">
        <v>4822</v>
      </c>
      <c r="G362" s="13" t="s">
        <v>41</v>
      </c>
      <c r="H362" s="13" t="s">
        <v>334</v>
      </c>
      <c r="I362" s="12"/>
      <c r="J362" s="13">
        <v>689092069</v>
      </c>
      <c r="K362" s="13"/>
      <c r="L362" s="13" t="s">
        <v>335</v>
      </c>
      <c r="M362" s="14" t="s">
        <v>1073</v>
      </c>
      <c r="N362" s="13" t="s">
        <v>1068</v>
      </c>
      <c r="O362" s="12" t="s">
        <v>53</v>
      </c>
      <c r="P362" s="12" t="s">
        <v>174</v>
      </c>
      <c r="Q362" s="12" t="s">
        <v>868</v>
      </c>
      <c r="R362" s="12" t="s">
        <v>174</v>
      </c>
      <c r="S362" s="14" t="s">
        <v>166</v>
      </c>
      <c r="T362" s="12" t="s">
        <v>1110</v>
      </c>
      <c r="U362" s="14" t="s">
        <v>780</v>
      </c>
      <c r="V362" s="14"/>
      <c r="W362" s="14"/>
      <c r="X362" s="12"/>
      <c r="Y362" s="12"/>
      <c r="Z362" s="14"/>
      <c r="AA362" s="12"/>
      <c r="AB362" s="15"/>
      <c r="AC362" s="16">
        <v>0</v>
      </c>
      <c r="AD362" s="16">
        <v>0</v>
      </c>
      <c r="AE362" s="16">
        <v>0</v>
      </c>
      <c r="AF362" s="16">
        <v>1</v>
      </c>
      <c r="AG362" s="16">
        <v>0</v>
      </c>
      <c r="AH362" s="14" t="s">
        <v>166</v>
      </c>
      <c r="AI362" s="54">
        <v>0</v>
      </c>
      <c r="AJ362" s="54">
        <v>0</v>
      </c>
      <c r="AK362" s="54">
        <v>0</v>
      </c>
      <c r="AL362" s="54">
        <v>1</v>
      </c>
      <c r="AM362" s="54">
        <v>0</v>
      </c>
      <c r="AN362" s="14" t="s">
        <v>166</v>
      </c>
    </row>
    <row r="363" spans="1:40" ht="47.25" x14ac:dyDescent="0.25">
      <c r="A363" s="12" t="s">
        <v>1625</v>
      </c>
      <c r="B363" s="12" t="s">
        <v>1626</v>
      </c>
      <c r="C363" s="12" t="s">
        <v>1134</v>
      </c>
      <c r="D363" s="13" t="s">
        <v>85</v>
      </c>
      <c r="E363" s="13" t="s">
        <v>86</v>
      </c>
      <c r="F363" s="13">
        <v>2378</v>
      </c>
      <c r="G363" s="13" t="s">
        <v>41</v>
      </c>
      <c r="H363" s="13" t="s">
        <v>383</v>
      </c>
      <c r="I363" s="12"/>
      <c r="J363" s="13">
        <v>690650460</v>
      </c>
      <c r="K363" s="13"/>
      <c r="L363" s="13" t="s">
        <v>384</v>
      </c>
      <c r="M363" s="14" t="s">
        <v>153</v>
      </c>
      <c r="N363" s="13" t="s">
        <v>152</v>
      </c>
      <c r="O363" s="12" t="s">
        <v>53</v>
      </c>
      <c r="P363" s="12" t="s">
        <v>1045</v>
      </c>
      <c r="Q363" s="12" t="s">
        <v>174</v>
      </c>
      <c r="R363" s="12" t="s">
        <v>174</v>
      </c>
      <c r="S363" s="14" t="s">
        <v>166</v>
      </c>
      <c r="T363" s="12" t="s">
        <v>174</v>
      </c>
      <c r="U363" s="14" t="s">
        <v>782</v>
      </c>
      <c r="V363" s="14"/>
      <c r="W363" s="14"/>
      <c r="X363" s="12"/>
      <c r="Y363" s="12"/>
      <c r="Z363" s="14"/>
      <c r="AA363" s="12"/>
      <c r="AB363" s="15"/>
      <c r="AC363" s="16">
        <v>0</v>
      </c>
      <c r="AD363" s="16">
        <v>0</v>
      </c>
      <c r="AE363" s="16">
        <v>1</v>
      </c>
      <c r="AF363" s="16">
        <v>0</v>
      </c>
      <c r="AG363" s="16">
        <v>0</v>
      </c>
      <c r="AH363" s="14" t="s">
        <v>166</v>
      </c>
      <c r="AI363" s="54">
        <v>0</v>
      </c>
      <c r="AJ363" s="54">
        <v>0</v>
      </c>
      <c r="AK363" s="54">
        <v>1</v>
      </c>
      <c r="AL363" s="54">
        <v>0</v>
      </c>
      <c r="AM363" s="54">
        <v>0</v>
      </c>
      <c r="AN363" s="14" t="s">
        <v>166</v>
      </c>
    </row>
    <row r="364" spans="1:40" ht="47.25" x14ac:dyDescent="0.25">
      <c r="A364" s="12" t="s">
        <v>1625</v>
      </c>
      <c r="B364" s="12" t="s">
        <v>1626</v>
      </c>
      <c r="C364" s="12" t="s">
        <v>1134</v>
      </c>
      <c r="D364" s="13" t="s">
        <v>85</v>
      </c>
      <c r="E364" s="13" t="s">
        <v>86</v>
      </c>
      <c r="F364" s="13">
        <v>4843</v>
      </c>
      <c r="G364" s="13" t="s">
        <v>41</v>
      </c>
      <c r="H364" s="13" t="s">
        <v>330</v>
      </c>
      <c r="I364" s="12"/>
      <c r="J364" s="13">
        <v>660617666</v>
      </c>
      <c r="K364" s="13"/>
      <c r="L364" s="13" t="s">
        <v>331</v>
      </c>
      <c r="M364" s="14" t="s">
        <v>1073</v>
      </c>
      <c r="N364" s="13" t="s">
        <v>1068</v>
      </c>
      <c r="O364" s="12" t="s">
        <v>67</v>
      </c>
      <c r="P364" s="12" t="s">
        <v>174</v>
      </c>
      <c r="Q364" s="12" t="s">
        <v>868</v>
      </c>
      <c r="R364" s="12" t="s">
        <v>174</v>
      </c>
      <c r="S364" s="14" t="s">
        <v>166</v>
      </c>
      <c r="T364" s="12" t="s">
        <v>1110</v>
      </c>
      <c r="U364" s="14" t="s">
        <v>780</v>
      </c>
      <c r="V364" s="14"/>
      <c r="W364" s="14"/>
      <c r="X364" s="12"/>
      <c r="Y364" s="12"/>
      <c r="Z364" s="14"/>
      <c r="AA364" s="12"/>
      <c r="AB364" s="15"/>
      <c r="AC364" s="16">
        <v>0</v>
      </c>
      <c r="AD364" s="16">
        <v>0</v>
      </c>
      <c r="AE364" s="16">
        <v>0</v>
      </c>
      <c r="AF364" s="16">
        <v>1</v>
      </c>
      <c r="AG364" s="16">
        <v>0</v>
      </c>
      <c r="AH364" s="14" t="s">
        <v>166</v>
      </c>
      <c r="AI364" s="54">
        <v>0</v>
      </c>
      <c r="AJ364" s="54">
        <v>0</v>
      </c>
      <c r="AK364" s="54">
        <v>0</v>
      </c>
      <c r="AL364" s="54">
        <v>1</v>
      </c>
      <c r="AM364" s="54">
        <v>0</v>
      </c>
      <c r="AN364" s="14" t="s">
        <v>166</v>
      </c>
    </row>
    <row r="365" spans="1:40" ht="47.25" x14ac:dyDescent="0.25">
      <c r="A365" s="12" t="s">
        <v>1625</v>
      </c>
      <c r="B365" s="12" t="s">
        <v>1626</v>
      </c>
      <c r="C365" s="12" t="s">
        <v>1134</v>
      </c>
      <c r="D365" s="13" t="s">
        <v>85</v>
      </c>
      <c r="E365" s="13" t="s">
        <v>86</v>
      </c>
      <c r="F365" s="13">
        <v>2432</v>
      </c>
      <c r="G365" s="13" t="s">
        <v>41</v>
      </c>
      <c r="H365" s="13" t="s">
        <v>387</v>
      </c>
      <c r="I365" s="12"/>
      <c r="J365" s="13">
        <v>638665454</v>
      </c>
      <c r="K365" s="13"/>
      <c r="L365" s="13" t="s">
        <v>388</v>
      </c>
      <c r="M365" s="14" t="s">
        <v>153</v>
      </c>
      <c r="N365" s="13" t="s">
        <v>152</v>
      </c>
      <c r="O365" s="12" t="s">
        <v>53</v>
      </c>
      <c r="P365" s="12" t="s">
        <v>174</v>
      </c>
      <c r="Q365" s="12" t="s">
        <v>868</v>
      </c>
      <c r="R365" s="12" t="s">
        <v>174</v>
      </c>
      <c r="S365" s="14" t="s">
        <v>166</v>
      </c>
      <c r="T365" s="12" t="s">
        <v>1110</v>
      </c>
      <c r="U365" s="14" t="s">
        <v>782</v>
      </c>
      <c r="V365" s="14"/>
      <c r="W365" s="14"/>
      <c r="X365" s="12"/>
      <c r="Y365" s="12"/>
      <c r="Z365" s="14"/>
      <c r="AA365" s="12"/>
      <c r="AB365" s="15"/>
      <c r="AC365" s="16">
        <v>0</v>
      </c>
      <c r="AD365" s="16">
        <v>0</v>
      </c>
      <c r="AE365" s="16">
        <v>1</v>
      </c>
      <c r="AF365" s="16">
        <v>0</v>
      </c>
      <c r="AG365" s="16">
        <v>0</v>
      </c>
      <c r="AH365" s="14" t="s">
        <v>166</v>
      </c>
      <c r="AI365" s="54">
        <v>0</v>
      </c>
      <c r="AJ365" s="54">
        <v>0</v>
      </c>
      <c r="AK365" s="54">
        <v>1</v>
      </c>
      <c r="AL365" s="54">
        <v>0</v>
      </c>
      <c r="AM365" s="54">
        <v>0</v>
      </c>
      <c r="AN365" s="14" t="s">
        <v>166</v>
      </c>
    </row>
    <row r="366" spans="1:40" ht="47.25" x14ac:dyDescent="0.25">
      <c r="A366" s="12" t="s">
        <v>1627</v>
      </c>
      <c r="B366" s="12" t="s">
        <v>1628</v>
      </c>
      <c r="C366" s="12" t="s">
        <v>1134</v>
      </c>
      <c r="D366" s="13" t="s">
        <v>85</v>
      </c>
      <c r="E366" s="13" t="s">
        <v>87</v>
      </c>
      <c r="F366" s="13">
        <v>2259</v>
      </c>
      <c r="G366" s="13" t="s">
        <v>41</v>
      </c>
      <c r="H366" s="13" t="s">
        <v>368</v>
      </c>
      <c r="I366" s="12"/>
      <c r="J366" s="13">
        <v>620606128</v>
      </c>
      <c r="K366" s="13"/>
      <c r="L366" s="13" t="s">
        <v>369</v>
      </c>
      <c r="M366" s="14" t="s">
        <v>1073</v>
      </c>
      <c r="N366" s="13" t="s">
        <v>1068</v>
      </c>
      <c r="O366" s="12" t="s">
        <v>53</v>
      </c>
      <c r="P366" s="12" t="s">
        <v>174</v>
      </c>
      <c r="Q366" s="12" t="s">
        <v>868</v>
      </c>
      <c r="R366" s="12" t="s">
        <v>174</v>
      </c>
      <c r="S366" s="14" t="s">
        <v>166</v>
      </c>
      <c r="T366" s="12" t="s">
        <v>1110</v>
      </c>
      <c r="U366" s="14" t="s">
        <v>780</v>
      </c>
      <c r="V366" s="14"/>
      <c r="W366" s="14"/>
      <c r="X366" s="12"/>
      <c r="Y366" s="12"/>
      <c r="Z366" s="14"/>
      <c r="AA366" s="12"/>
      <c r="AB366" s="15"/>
      <c r="AC366" s="16">
        <v>0</v>
      </c>
      <c r="AD366" s="16">
        <v>0</v>
      </c>
      <c r="AE366" s="16">
        <v>1</v>
      </c>
      <c r="AF366" s="16">
        <v>0</v>
      </c>
      <c r="AG366" s="16">
        <v>0</v>
      </c>
      <c r="AH366" s="14" t="s">
        <v>166</v>
      </c>
      <c r="AI366" s="54">
        <v>0</v>
      </c>
      <c r="AJ366" s="54">
        <v>0</v>
      </c>
      <c r="AK366" s="54">
        <v>1</v>
      </c>
      <c r="AL366" s="54">
        <v>0</v>
      </c>
      <c r="AM366" s="54">
        <v>0</v>
      </c>
      <c r="AN366" s="14" t="s">
        <v>166</v>
      </c>
    </row>
    <row r="367" spans="1:40" ht="47.25" x14ac:dyDescent="0.25">
      <c r="A367" s="12" t="s">
        <v>1627</v>
      </c>
      <c r="B367" s="12" t="s">
        <v>1628</v>
      </c>
      <c r="C367" s="12" t="s">
        <v>1134</v>
      </c>
      <c r="D367" s="13" t="s">
        <v>85</v>
      </c>
      <c r="E367" s="13" t="s">
        <v>87</v>
      </c>
      <c r="F367" s="13">
        <v>2260</v>
      </c>
      <c r="G367" s="13" t="s">
        <v>41</v>
      </c>
      <c r="H367" s="13" t="s">
        <v>358</v>
      </c>
      <c r="I367" s="12"/>
      <c r="J367" s="13">
        <v>689664630</v>
      </c>
      <c r="K367" s="13"/>
      <c r="L367" s="13" t="s">
        <v>359</v>
      </c>
      <c r="M367" s="14" t="s">
        <v>1073</v>
      </c>
      <c r="N367" s="13" t="s">
        <v>1068</v>
      </c>
      <c r="O367" s="12" t="s">
        <v>53</v>
      </c>
      <c r="P367" s="12" t="s">
        <v>174</v>
      </c>
      <c r="Q367" s="12" t="s">
        <v>868</v>
      </c>
      <c r="R367" s="12" t="s">
        <v>174</v>
      </c>
      <c r="S367" s="14" t="s">
        <v>166</v>
      </c>
      <c r="T367" s="12" t="s">
        <v>1110</v>
      </c>
      <c r="U367" s="14" t="s">
        <v>780</v>
      </c>
      <c r="V367" s="14"/>
      <c r="W367" s="14"/>
      <c r="X367" s="12"/>
      <c r="Y367" s="12"/>
      <c r="Z367" s="14"/>
      <c r="AA367" s="12"/>
      <c r="AB367" s="15"/>
      <c r="AC367" s="16">
        <v>0</v>
      </c>
      <c r="AD367" s="16">
        <v>0</v>
      </c>
      <c r="AE367" s="16">
        <v>1</v>
      </c>
      <c r="AF367" s="16">
        <v>0</v>
      </c>
      <c r="AG367" s="16">
        <v>0</v>
      </c>
      <c r="AH367" s="14" t="s">
        <v>166</v>
      </c>
      <c r="AI367" s="54">
        <v>0</v>
      </c>
      <c r="AJ367" s="54">
        <v>0</v>
      </c>
      <c r="AK367" s="54">
        <v>1</v>
      </c>
      <c r="AL367" s="54">
        <v>0</v>
      </c>
      <c r="AM367" s="54">
        <v>0</v>
      </c>
      <c r="AN367" s="14" t="s">
        <v>166</v>
      </c>
    </row>
    <row r="368" spans="1:40" ht="47.25" x14ac:dyDescent="0.25">
      <c r="A368" s="12" t="s">
        <v>1627</v>
      </c>
      <c r="B368" s="12" t="s">
        <v>1628</v>
      </c>
      <c r="C368" s="12" t="s">
        <v>1134</v>
      </c>
      <c r="D368" s="13" t="s">
        <v>85</v>
      </c>
      <c r="E368" s="13" t="s">
        <v>87</v>
      </c>
      <c r="F368" s="13">
        <v>1051</v>
      </c>
      <c r="G368" s="13" t="s">
        <v>41</v>
      </c>
      <c r="H368" s="13" t="s">
        <v>366</v>
      </c>
      <c r="I368" s="12"/>
      <c r="J368" s="13">
        <v>686769287</v>
      </c>
      <c r="K368" s="13"/>
      <c r="L368" s="13" t="s">
        <v>367</v>
      </c>
      <c r="M368" s="14" t="s">
        <v>1073</v>
      </c>
      <c r="N368" s="13" t="s">
        <v>1068</v>
      </c>
      <c r="O368" s="12" t="s">
        <v>53</v>
      </c>
      <c r="P368" s="12" t="s">
        <v>174</v>
      </c>
      <c r="Q368" s="12" t="s">
        <v>868</v>
      </c>
      <c r="R368" s="12" t="s">
        <v>174</v>
      </c>
      <c r="S368" s="14" t="s">
        <v>166</v>
      </c>
      <c r="T368" s="12" t="s">
        <v>174</v>
      </c>
      <c r="U368" s="14" t="s">
        <v>780</v>
      </c>
      <c r="V368" s="14"/>
      <c r="W368" s="14"/>
      <c r="X368" s="12"/>
      <c r="Y368" s="12"/>
      <c r="Z368" s="14"/>
      <c r="AA368" s="12"/>
      <c r="AB368" s="15"/>
      <c r="AC368" s="16">
        <v>0</v>
      </c>
      <c r="AD368" s="16">
        <v>0</v>
      </c>
      <c r="AE368" s="16">
        <v>1</v>
      </c>
      <c r="AF368" s="16">
        <v>0</v>
      </c>
      <c r="AG368" s="16">
        <v>0</v>
      </c>
      <c r="AH368" s="14" t="s">
        <v>166</v>
      </c>
      <c r="AI368" s="54">
        <v>0</v>
      </c>
      <c r="AJ368" s="54">
        <v>0</v>
      </c>
      <c r="AK368" s="54">
        <v>1</v>
      </c>
      <c r="AL368" s="54">
        <v>0</v>
      </c>
      <c r="AM368" s="54">
        <v>0</v>
      </c>
      <c r="AN368" s="14" t="s">
        <v>166</v>
      </c>
    </row>
    <row r="369" spans="1:40" ht="47.25" x14ac:dyDescent="0.25">
      <c r="A369" s="12" t="s">
        <v>1627</v>
      </c>
      <c r="B369" s="12" t="s">
        <v>1628</v>
      </c>
      <c r="C369" s="12" t="s">
        <v>1134</v>
      </c>
      <c r="D369" s="13" t="s">
        <v>85</v>
      </c>
      <c r="E369" s="13" t="s">
        <v>87</v>
      </c>
      <c r="F369" s="13">
        <v>2262</v>
      </c>
      <c r="G369" s="13" t="s">
        <v>41</v>
      </c>
      <c r="H369" s="13" t="s">
        <v>360</v>
      </c>
      <c r="I369" s="12"/>
      <c r="J369" s="13">
        <v>649984621</v>
      </c>
      <c r="K369" s="13"/>
      <c r="L369" s="13" t="s">
        <v>361</v>
      </c>
      <c r="M369" s="14" t="s">
        <v>1073</v>
      </c>
      <c r="N369" s="13" t="s">
        <v>1068</v>
      </c>
      <c r="O369" s="12" t="s">
        <v>53</v>
      </c>
      <c r="P369" s="12" t="s">
        <v>174</v>
      </c>
      <c r="Q369" s="12" t="s">
        <v>868</v>
      </c>
      <c r="R369" s="12" t="s">
        <v>174</v>
      </c>
      <c r="S369" s="14" t="s">
        <v>166</v>
      </c>
      <c r="T369" s="12" t="s">
        <v>1110</v>
      </c>
      <c r="U369" s="14" t="s">
        <v>780</v>
      </c>
      <c r="V369" s="14"/>
      <c r="W369" s="14"/>
      <c r="X369" s="12"/>
      <c r="Y369" s="12"/>
      <c r="Z369" s="14"/>
      <c r="AA369" s="12"/>
      <c r="AB369" s="15"/>
      <c r="AC369" s="16">
        <v>0</v>
      </c>
      <c r="AD369" s="16">
        <v>0</v>
      </c>
      <c r="AE369" s="16">
        <v>1</v>
      </c>
      <c r="AF369" s="16">
        <v>0</v>
      </c>
      <c r="AG369" s="16">
        <v>0</v>
      </c>
      <c r="AH369" s="14" t="s">
        <v>166</v>
      </c>
      <c r="AI369" s="54">
        <v>0</v>
      </c>
      <c r="AJ369" s="54">
        <v>0</v>
      </c>
      <c r="AK369" s="54">
        <v>1</v>
      </c>
      <c r="AL369" s="54">
        <v>0</v>
      </c>
      <c r="AM369" s="54">
        <v>0</v>
      </c>
      <c r="AN369" s="14" t="s">
        <v>166</v>
      </c>
    </row>
    <row r="370" spans="1:40" ht="47.25" x14ac:dyDescent="0.25">
      <c r="A370" s="12" t="s">
        <v>1629</v>
      </c>
      <c r="B370" s="12" t="s">
        <v>1630</v>
      </c>
      <c r="C370" s="12" t="s">
        <v>1134</v>
      </c>
      <c r="D370" s="13" t="s">
        <v>975</v>
      </c>
      <c r="E370" s="13" t="s">
        <v>977</v>
      </c>
      <c r="F370" s="13">
        <v>5800</v>
      </c>
      <c r="G370" s="13" t="s">
        <v>41</v>
      </c>
      <c r="H370" s="13" t="s">
        <v>936</v>
      </c>
      <c r="I370" s="12"/>
      <c r="J370" s="13">
        <v>689281621</v>
      </c>
      <c r="K370" s="13"/>
      <c r="L370" s="13" t="s">
        <v>937</v>
      </c>
      <c r="M370" s="14" t="s">
        <v>1073</v>
      </c>
      <c r="N370" s="13" t="s">
        <v>1068</v>
      </c>
      <c r="O370" s="12">
        <v>2</v>
      </c>
      <c r="P370" s="12" t="s">
        <v>174</v>
      </c>
      <c r="Q370" s="12" t="s">
        <v>868</v>
      </c>
      <c r="R370" s="12" t="s">
        <v>174</v>
      </c>
      <c r="S370" s="14" t="s">
        <v>166</v>
      </c>
      <c r="T370" s="12" t="s">
        <v>1110</v>
      </c>
      <c r="U370" s="14" t="s">
        <v>780</v>
      </c>
      <c r="V370" s="14"/>
      <c r="W370" s="14"/>
      <c r="X370" s="12"/>
      <c r="Y370" s="12"/>
      <c r="Z370" s="14"/>
      <c r="AA370" s="12"/>
      <c r="AB370" s="15"/>
      <c r="AC370" s="16">
        <v>0</v>
      </c>
      <c r="AD370" s="16">
        <v>0</v>
      </c>
      <c r="AE370" s="16">
        <v>0</v>
      </c>
      <c r="AF370" s="16">
        <v>0</v>
      </c>
      <c r="AG370" s="16">
        <v>1</v>
      </c>
      <c r="AH370" s="14" t="s">
        <v>166</v>
      </c>
      <c r="AI370" s="54">
        <v>1</v>
      </c>
      <c r="AJ370" s="54">
        <v>0</v>
      </c>
      <c r="AK370" s="54">
        <v>0</v>
      </c>
      <c r="AL370" s="54">
        <v>0</v>
      </c>
      <c r="AM370" s="54">
        <v>1</v>
      </c>
      <c r="AN370" s="14" t="s">
        <v>166</v>
      </c>
    </row>
    <row r="371" spans="1:40" ht="47.25" x14ac:dyDescent="0.25">
      <c r="A371" s="12" t="s">
        <v>1631</v>
      </c>
      <c r="B371" s="12" t="s">
        <v>1632</v>
      </c>
      <c r="C371" s="12" t="s">
        <v>1134</v>
      </c>
      <c r="D371" s="13" t="s">
        <v>976</v>
      </c>
      <c r="E371" s="13" t="s">
        <v>977</v>
      </c>
      <c r="F371" s="13">
        <v>1086</v>
      </c>
      <c r="G371" s="13" t="s">
        <v>41</v>
      </c>
      <c r="H371" s="13" t="s">
        <v>570</v>
      </c>
      <c r="I371" s="12"/>
      <c r="J371" s="13">
        <v>648913573</v>
      </c>
      <c r="K371" s="13"/>
      <c r="L371" s="13" t="s">
        <v>571</v>
      </c>
      <c r="M371" s="14" t="s">
        <v>1073</v>
      </c>
      <c r="N371" s="13" t="s">
        <v>1068</v>
      </c>
      <c r="O371" s="12" t="s">
        <v>53</v>
      </c>
      <c r="P371" s="12" t="s">
        <v>174</v>
      </c>
      <c r="Q371" s="12" t="s">
        <v>868</v>
      </c>
      <c r="R371" s="12" t="s">
        <v>174</v>
      </c>
      <c r="S371" s="14" t="s">
        <v>166</v>
      </c>
      <c r="T371" s="12" t="s">
        <v>1110</v>
      </c>
      <c r="U371" s="14" t="s">
        <v>780</v>
      </c>
      <c r="V371" s="14"/>
      <c r="W371" s="14"/>
      <c r="X371" s="12"/>
      <c r="Y371" s="12"/>
      <c r="Z371" s="14"/>
      <c r="AA371" s="12"/>
      <c r="AB371" s="15"/>
      <c r="AC371" s="16">
        <v>0</v>
      </c>
      <c r="AD371" s="16">
        <v>0</v>
      </c>
      <c r="AE371" s="16">
        <v>1</v>
      </c>
      <c r="AF371" s="16">
        <v>0</v>
      </c>
      <c r="AG371" s="16">
        <v>0</v>
      </c>
      <c r="AH371" s="14" t="s">
        <v>166</v>
      </c>
      <c r="AI371" s="54">
        <v>0</v>
      </c>
      <c r="AJ371" s="54">
        <v>0</v>
      </c>
      <c r="AK371" s="54">
        <v>1</v>
      </c>
      <c r="AL371" s="54">
        <v>0</v>
      </c>
      <c r="AM371" s="54">
        <v>0</v>
      </c>
      <c r="AN371" s="14" t="s">
        <v>166</v>
      </c>
    </row>
    <row r="372" spans="1:40" ht="31.5" x14ac:dyDescent="0.25">
      <c r="A372" s="12" t="s">
        <v>1631</v>
      </c>
      <c r="B372" s="12" t="s">
        <v>1632</v>
      </c>
      <c r="C372" s="12" t="s">
        <v>1134</v>
      </c>
      <c r="D372" s="13" t="s">
        <v>976</v>
      </c>
      <c r="E372" s="13" t="s">
        <v>977</v>
      </c>
      <c r="F372" s="13">
        <v>1900</v>
      </c>
      <c r="G372" s="13" t="s">
        <v>41</v>
      </c>
      <c r="H372" s="13" t="s">
        <v>574</v>
      </c>
      <c r="I372" s="12"/>
      <c r="J372" s="13">
        <v>689449862</v>
      </c>
      <c r="K372" s="13"/>
      <c r="L372" s="13" t="s">
        <v>575</v>
      </c>
      <c r="M372" s="14" t="s">
        <v>155</v>
      </c>
      <c r="N372" s="13" t="s">
        <v>154</v>
      </c>
      <c r="O372" s="12" t="s">
        <v>53</v>
      </c>
      <c r="P372" s="12" t="s">
        <v>174</v>
      </c>
      <c r="Q372" s="12" t="s">
        <v>868</v>
      </c>
      <c r="R372" s="12" t="s">
        <v>174</v>
      </c>
      <c r="S372" s="14" t="s">
        <v>166</v>
      </c>
      <c r="T372" s="12" t="s">
        <v>1110</v>
      </c>
      <c r="U372" s="14" t="s">
        <v>1388</v>
      </c>
      <c r="V372" s="14"/>
      <c r="W372" s="14"/>
      <c r="X372" s="12"/>
      <c r="Y372" s="12"/>
      <c r="Z372" s="14"/>
      <c r="AA372" s="12"/>
      <c r="AB372" s="15"/>
      <c r="AC372" s="16">
        <v>0</v>
      </c>
      <c r="AD372" s="16">
        <v>0</v>
      </c>
      <c r="AE372" s="16">
        <v>0</v>
      </c>
      <c r="AF372" s="16">
        <v>1</v>
      </c>
      <c r="AG372" s="16">
        <v>0</v>
      </c>
      <c r="AH372" s="14" t="s">
        <v>166</v>
      </c>
      <c r="AI372" s="54">
        <v>0</v>
      </c>
      <c r="AJ372" s="54">
        <v>0</v>
      </c>
      <c r="AK372" s="54">
        <v>0</v>
      </c>
      <c r="AL372" s="54">
        <v>1</v>
      </c>
      <c r="AM372" s="54">
        <v>0</v>
      </c>
      <c r="AN372" s="14" t="s">
        <v>166</v>
      </c>
    </row>
    <row r="373" spans="1:40" ht="47.25" x14ac:dyDescent="0.25">
      <c r="A373" s="12" t="s">
        <v>1631</v>
      </c>
      <c r="B373" s="12" t="s">
        <v>1632</v>
      </c>
      <c r="C373" s="12" t="s">
        <v>1134</v>
      </c>
      <c r="D373" s="13" t="s">
        <v>976</v>
      </c>
      <c r="E373" s="13" t="s">
        <v>977</v>
      </c>
      <c r="F373" s="13">
        <v>1856</v>
      </c>
      <c r="G373" s="13" t="s">
        <v>41</v>
      </c>
      <c r="H373" s="13" t="s">
        <v>582</v>
      </c>
      <c r="I373" s="12"/>
      <c r="J373" s="13">
        <v>683580864</v>
      </c>
      <c r="K373" s="13"/>
      <c r="L373" s="13" t="s">
        <v>583</v>
      </c>
      <c r="M373" s="14" t="s">
        <v>1074</v>
      </c>
      <c r="N373" s="13" t="s">
        <v>1069</v>
      </c>
      <c r="O373" s="12" t="s">
        <v>53</v>
      </c>
      <c r="P373" s="12" t="s">
        <v>174</v>
      </c>
      <c r="Q373" s="12" t="s">
        <v>868</v>
      </c>
      <c r="R373" s="12" t="s">
        <v>174</v>
      </c>
      <c r="S373" s="14" t="s">
        <v>166</v>
      </c>
      <c r="T373" s="12" t="s">
        <v>1110</v>
      </c>
      <c r="U373" s="14" t="s">
        <v>781</v>
      </c>
      <c r="V373" s="14"/>
      <c r="W373" s="14"/>
      <c r="X373" s="12"/>
      <c r="Y373" s="12"/>
      <c r="Z373" s="14"/>
      <c r="AA373" s="12"/>
      <c r="AB373" s="15"/>
      <c r="AC373" s="16">
        <v>0</v>
      </c>
      <c r="AD373" s="16">
        <v>0</v>
      </c>
      <c r="AE373" s="16">
        <v>1</v>
      </c>
      <c r="AF373" s="16">
        <v>0</v>
      </c>
      <c r="AG373" s="16">
        <v>0</v>
      </c>
      <c r="AH373" s="14" t="s">
        <v>166</v>
      </c>
      <c r="AI373" s="54">
        <v>0</v>
      </c>
      <c r="AJ373" s="54">
        <v>0</v>
      </c>
      <c r="AK373" s="54">
        <v>1</v>
      </c>
      <c r="AL373" s="54">
        <v>0</v>
      </c>
      <c r="AM373" s="54">
        <v>0</v>
      </c>
      <c r="AN373" s="14" t="s">
        <v>166</v>
      </c>
    </row>
    <row r="374" spans="1:40" ht="47.25" x14ac:dyDescent="0.25">
      <c r="A374" s="12" t="s">
        <v>1633</v>
      </c>
      <c r="B374" s="12" t="s">
        <v>1634</v>
      </c>
      <c r="C374" s="12" t="s">
        <v>1134</v>
      </c>
      <c r="D374" s="13" t="s">
        <v>79</v>
      </c>
      <c r="E374" s="13" t="s">
        <v>74</v>
      </c>
      <c r="F374" s="13">
        <v>2401</v>
      </c>
      <c r="G374" s="13" t="s">
        <v>45</v>
      </c>
      <c r="H374" s="13" t="s">
        <v>393</v>
      </c>
      <c r="I374" s="12"/>
      <c r="J374" s="13">
        <v>680878340</v>
      </c>
      <c r="K374" s="13"/>
      <c r="L374" s="13" t="s">
        <v>394</v>
      </c>
      <c r="M374" s="14" t="s">
        <v>153</v>
      </c>
      <c r="N374" s="13" t="s">
        <v>152</v>
      </c>
      <c r="O374" s="12" t="s">
        <v>53</v>
      </c>
      <c r="P374" s="12" t="s">
        <v>174</v>
      </c>
      <c r="Q374" s="12" t="s">
        <v>174</v>
      </c>
      <c r="R374" s="12" t="s">
        <v>174</v>
      </c>
      <c r="S374" s="14" t="s">
        <v>166</v>
      </c>
      <c r="T374" s="12" t="s">
        <v>174</v>
      </c>
      <c r="U374" s="14" t="s">
        <v>782</v>
      </c>
      <c r="V374" s="14"/>
      <c r="W374" s="14"/>
      <c r="X374" s="12"/>
      <c r="Y374" s="12"/>
      <c r="Z374" s="14"/>
      <c r="AA374" s="12"/>
      <c r="AB374" s="15"/>
      <c r="AC374" s="16">
        <v>0</v>
      </c>
      <c r="AD374" s="16">
        <v>0</v>
      </c>
      <c r="AE374" s="16">
        <v>1</v>
      </c>
      <c r="AF374" s="16">
        <v>0</v>
      </c>
      <c r="AG374" s="16">
        <v>0</v>
      </c>
      <c r="AH374" s="14" t="s">
        <v>166</v>
      </c>
      <c r="AI374" s="54">
        <v>0</v>
      </c>
      <c r="AJ374" s="54">
        <v>0</v>
      </c>
      <c r="AK374" s="54">
        <v>1</v>
      </c>
      <c r="AL374" s="54">
        <v>0</v>
      </c>
      <c r="AM374" s="54">
        <v>0</v>
      </c>
      <c r="AN374" s="14" t="s">
        <v>166</v>
      </c>
    </row>
    <row r="375" spans="1:40" ht="47.25" x14ac:dyDescent="0.25">
      <c r="A375" s="12" t="s">
        <v>1635</v>
      </c>
      <c r="B375" s="12" t="s">
        <v>1636</v>
      </c>
      <c r="C375" s="12" t="s">
        <v>1134</v>
      </c>
      <c r="D375" s="13" t="s">
        <v>84</v>
      </c>
      <c r="E375" s="13" t="s">
        <v>83</v>
      </c>
      <c r="F375" s="13">
        <v>2334</v>
      </c>
      <c r="G375" s="13" t="s">
        <v>45</v>
      </c>
      <c r="H375" s="13" t="s">
        <v>373</v>
      </c>
      <c r="I375" s="12"/>
      <c r="J375" s="13">
        <v>690922074</v>
      </c>
      <c r="K375" s="13"/>
      <c r="L375" s="13" t="s">
        <v>374</v>
      </c>
      <c r="M375" s="14" t="s">
        <v>153</v>
      </c>
      <c r="N375" s="13" t="s">
        <v>152</v>
      </c>
      <c r="O375" s="12" t="s">
        <v>53</v>
      </c>
      <c r="P375" s="12" t="s">
        <v>1045</v>
      </c>
      <c r="Q375" s="12" t="s">
        <v>174</v>
      </c>
      <c r="R375" s="12" t="s">
        <v>174</v>
      </c>
      <c r="S375" s="14" t="s">
        <v>166</v>
      </c>
      <c r="T375" s="12" t="s">
        <v>174</v>
      </c>
      <c r="U375" s="14" t="s">
        <v>782</v>
      </c>
      <c r="V375" s="14"/>
      <c r="W375" s="14"/>
      <c r="X375" s="12"/>
      <c r="Y375" s="12"/>
      <c r="Z375" s="14"/>
      <c r="AA375" s="12"/>
      <c r="AB375" s="15"/>
      <c r="AC375" s="16">
        <v>0</v>
      </c>
      <c r="AD375" s="16">
        <v>0</v>
      </c>
      <c r="AE375" s="16">
        <v>0</v>
      </c>
      <c r="AF375" s="16">
        <v>1</v>
      </c>
      <c r="AG375" s="16">
        <v>0</v>
      </c>
      <c r="AH375" s="14" t="s">
        <v>166</v>
      </c>
      <c r="AI375" s="54">
        <v>0</v>
      </c>
      <c r="AJ375" s="54">
        <v>0</v>
      </c>
      <c r="AK375" s="54">
        <v>0</v>
      </c>
      <c r="AL375" s="54">
        <v>1</v>
      </c>
      <c r="AM375" s="54">
        <v>0</v>
      </c>
      <c r="AN375" s="14" t="s">
        <v>166</v>
      </c>
    </row>
    <row r="376" spans="1:40" ht="47.25" x14ac:dyDescent="0.25">
      <c r="A376" s="12" t="s">
        <v>1635</v>
      </c>
      <c r="B376" s="12" t="s">
        <v>1636</v>
      </c>
      <c r="C376" s="12" t="s">
        <v>1134</v>
      </c>
      <c r="D376" s="13" t="s">
        <v>84</v>
      </c>
      <c r="E376" s="13" t="s">
        <v>83</v>
      </c>
      <c r="F376" s="13">
        <v>2465</v>
      </c>
      <c r="G376" s="13" t="s">
        <v>45</v>
      </c>
      <c r="H376" s="13" t="s">
        <v>377</v>
      </c>
      <c r="I376" s="12"/>
      <c r="J376" s="13">
        <v>696175609</v>
      </c>
      <c r="K376" s="13"/>
      <c r="L376" s="13" t="s">
        <v>378</v>
      </c>
      <c r="M376" s="14" t="s">
        <v>153</v>
      </c>
      <c r="N376" s="13" t="s">
        <v>152</v>
      </c>
      <c r="O376" s="12" t="s">
        <v>53</v>
      </c>
      <c r="P376" s="12" t="s">
        <v>1045</v>
      </c>
      <c r="Q376" s="12" t="s">
        <v>174</v>
      </c>
      <c r="R376" s="12" t="s">
        <v>174</v>
      </c>
      <c r="S376" s="14" t="s">
        <v>166</v>
      </c>
      <c r="T376" s="12" t="s">
        <v>174</v>
      </c>
      <c r="U376" s="14" t="s">
        <v>782</v>
      </c>
      <c r="V376" s="14"/>
      <c r="W376" s="14"/>
      <c r="X376" s="12"/>
      <c r="Y376" s="12"/>
      <c r="Z376" s="14"/>
      <c r="AA376" s="12"/>
      <c r="AB376" s="15"/>
      <c r="AC376" s="16">
        <v>0</v>
      </c>
      <c r="AD376" s="16">
        <v>0</v>
      </c>
      <c r="AE376" s="16">
        <v>0</v>
      </c>
      <c r="AF376" s="16">
        <v>1</v>
      </c>
      <c r="AG376" s="16">
        <v>0</v>
      </c>
      <c r="AH376" s="14" t="s">
        <v>166</v>
      </c>
      <c r="AI376" s="54">
        <v>0</v>
      </c>
      <c r="AJ376" s="54">
        <v>0</v>
      </c>
      <c r="AK376" s="54">
        <v>0</v>
      </c>
      <c r="AL376" s="54">
        <v>1</v>
      </c>
      <c r="AM376" s="54">
        <v>0</v>
      </c>
      <c r="AN376" s="14" t="s">
        <v>166</v>
      </c>
    </row>
    <row r="377" spans="1:40" ht="47.25" x14ac:dyDescent="0.25">
      <c r="A377" s="12" t="s">
        <v>1637</v>
      </c>
      <c r="B377" s="12" t="s">
        <v>1638</v>
      </c>
      <c r="C377" s="12" t="s">
        <v>1134</v>
      </c>
      <c r="D377" s="13" t="s">
        <v>85</v>
      </c>
      <c r="E377" s="13" t="s">
        <v>86</v>
      </c>
      <c r="F377" s="13">
        <v>2423</v>
      </c>
      <c r="G377" s="13" t="s">
        <v>45</v>
      </c>
      <c r="H377" s="13" t="s">
        <v>381</v>
      </c>
      <c r="I377" s="12"/>
      <c r="J377" s="13">
        <v>682457621</v>
      </c>
      <c r="K377" s="13"/>
      <c r="L377" s="13" t="s">
        <v>382</v>
      </c>
      <c r="M377" s="14" t="s">
        <v>153</v>
      </c>
      <c r="N377" s="13" t="s">
        <v>152</v>
      </c>
      <c r="O377" s="12" t="s">
        <v>53</v>
      </c>
      <c r="P377" s="12" t="s">
        <v>174</v>
      </c>
      <c r="Q377" s="12" t="s">
        <v>868</v>
      </c>
      <c r="R377" s="12" t="s">
        <v>174</v>
      </c>
      <c r="S377" s="14" t="s">
        <v>166</v>
      </c>
      <c r="T377" s="12" t="s">
        <v>1110</v>
      </c>
      <c r="U377" s="14" t="s">
        <v>782</v>
      </c>
      <c r="V377" s="14"/>
      <c r="W377" s="14"/>
      <c r="X377" s="12"/>
      <c r="Y377" s="12"/>
      <c r="Z377" s="14"/>
      <c r="AA377" s="12"/>
      <c r="AB377" s="15"/>
      <c r="AC377" s="16">
        <v>0</v>
      </c>
      <c r="AD377" s="16">
        <v>0</v>
      </c>
      <c r="AE377" s="16">
        <v>0</v>
      </c>
      <c r="AF377" s="16">
        <v>1</v>
      </c>
      <c r="AG377" s="16">
        <v>0</v>
      </c>
      <c r="AH377" s="14" t="s">
        <v>166</v>
      </c>
      <c r="AI377" s="54">
        <v>0</v>
      </c>
      <c r="AJ377" s="54">
        <v>0</v>
      </c>
      <c r="AK377" s="54">
        <v>0</v>
      </c>
      <c r="AL377" s="54">
        <v>1</v>
      </c>
      <c r="AM377" s="54">
        <v>0</v>
      </c>
      <c r="AN377" s="14" t="s">
        <v>166</v>
      </c>
    </row>
    <row r="378" spans="1:40" ht="47.25" x14ac:dyDescent="0.25">
      <c r="A378" s="12" t="s">
        <v>1637</v>
      </c>
      <c r="B378" s="12" t="s">
        <v>1638</v>
      </c>
      <c r="C378" s="12" t="s">
        <v>1134</v>
      </c>
      <c r="D378" s="13" t="s">
        <v>85</v>
      </c>
      <c r="E378" s="13" t="s">
        <v>86</v>
      </c>
      <c r="F378" s="13">
        <v>2299</v>
      </c>
      <c r="G378" s="13" t="s">
        <v>45</v>
      </c>
      <c r="H378" s="13" t="s">
        <v>385</v>
      </c>
      <c r="I378" s="12"/>
      <c r="J378" s="13">
        <v>699499627</v>
      </c>
      <c r="K378" s="13"/>
      <c r="L378" s="13" t="s">
        <v>386</v>
      </c>
      <c r="M378" s="14" t="s">
        <v>153</v>
      </c>
      <c r="N378" s="13" t="s">
        <v>152</v>
      </c>
      <c r="O378" s="12" t="s">
        <v>53</v>
      </c>
      <c r="P378" s="12" t="s">
        <v>1045</v>
      </c>
      <c r="Q378" s="12" t="s">
        <v>174</v>
      </c>
      <c r="R378" s="12" t="s">
        <v>174</v>
      </c>
      <c r="S378" s="14" t="s">
        <v>166</v>
      </c>
      <c r="T378" s="12" t="s">
        <v>174</v>
      </c>
      <c r="U378" s="14" t="s">
        <v>782</v>
      </c>
      <c r="V378" s="14"/>
      <c r="W378" s="14"/>
      <c r="X378" s="12"/>
      <c r="Y378" s="12"/>
      <c r="Z378" s="14"/>
      <c r="AA378" s="12"/>
      <c r="AB378" s="15"/>
      <c r="AC378" s="16">
        <v>0</v>
      </c>
      <c r="AD378" s="16">
        <v>0</v>
      </c>
      <c r="AE378" s="16">
        <v>1</v>
      </c>
      <c r="AF378" s="16">
        <v>0</v>
      </c>
      <c r="AG378" s="16">
        <v>0</v>
      </c>
      <c r="AH378" s="14" t="s">
        <v>166</v>
      </c>
      <c r="AI378" s="54">
        <v>0</v>
      </c>
      <c r="AJ378" s="54">
        <v>0</v>
      </c>
      <c r="AK378" s="54">
        <v>1</v>
      </c>
      <c r="AL378" s="54">
        <v>0</v>
      </c>
      <c r="AM378" s="54">
        <v>0</v>
      </c>
      <c r="AN378" s="14" t="s">
        <v>166</v>
      </c>
    </row>
    <row r="379" spans="1:40" ht="47.25" x14ac:dyDescent="0.25">
      <c r="A379" s="12" t="s">
        <v>1639</v>
      </c>
      <c r="B379" s="12" t="s">
        <v>1640</v>
      </c>
      <c r="C379" s="12" t="s">
        <v>1134</v>
      </c>
      <c r="D379" s="13" t="s">
        <v>85</v>
      </c>
      <c r="E379" s="13" t="s">
        <v>87</v>
      </c>
      <c r="F379" s="13">
        <v>3699</v>
      </c>
      <c r="G379" s="13" t="s">
        <v>45</v>
      </c>
      <c r="H379" s="13" t="s">
        <v>329</v>
      </c>
      <c r="I379" s="12"/>
      <c r="J379" s="13">
        <v>681287422</v>
      </c>
      <c r="K379" s="13"/>
      <c r="L379" s="13" t="s">
        <v>822</v>
      </c>
      <c r="M379" s="14" t="s">
        <v>1073</v>
      </c>
      <c r="N379" s="13" t="s">
        <v>1068</v>
      </c>
      <c r="O379" s="12" t="s">
        <v>53</v>
      </c>
      <c r="P379" s="12" t="s">
        <v>174</v>
      </c>
      <c r="Q379" s="12" t="s">
        <v>868</v>
      </c>
      <c r="R379" s="12" t="s">
        <v>174</v>
      </c>
      <c r="S379" s="14" t="s">
        <v>166</v>
      </c>
      <c r="T379" s="12" t="s">
        <v>1110</v>
      </c>
      <c r="U379" s="14" t="s">
        <v>780</v>
      </c>
      <c r="V379" s="14"/>
      <c r="W379" s="14"/>
      <c r="X379" s="12"/>
      <c r="Y379" s="12"/>
      <c r="Z379" s="14"/>
      <c r="AA379" s="12"/>
      <c r="AB379" s="15"/>
      <c r="AC379" s="16">
        <v>0</v>
      </c>
      <c r="AD379" s="16">
        <v>0</v>
      </c>
      <c r="AE379" s="16">
        <v>0</v>
      </c>
      <c r="AF379" s="16">
        <v>1</v>
      </c>
      <c r="AG379" s="16">
        <v>0</v>
      </c>
      <c r="AH379" s="14" t="s">
        <v>166</v>
      </c>
      <c r="AI379" s="54">
        <v>0</v>
      </c>
      <c r="AJ379" s="54">
        <v>0</v>
      </c>
      <c r="AK379" s="54">
        <v>0</v>
      </c>
      <c r="AL379" s="54">
        <v>1</v>
      </c>
      <c r="AM379" s="54">
        <v>0</v>
      </c>
      <c r="AN379" s="14" t="s">
        <v>166</v>
      </c>
    </row>
    <row r="380" spans="1:40" ht="47.25" x14ac:dyDescent="0.25">
      <c r="A380" s="12" t="s">
        <v>1639</v>
      </c>
      <c r="B380" s="12" t="s">
        <v>1640</v>
      </c>
      <c r="C380" s="12" t="s">
        <v>1134</v>
      </c>
      <c r="D380" s="13" t="s">
        <v>85</v>
      </c>
      <c r="E380" s="13" t="s">
        <v>87</v>
      </c>
      <c r="F380" s="13">
        <v>4222</v>
      </c>
      <c r="G380" s="13" t="s">
        <v>45</v>
      </c>
      <c r="H380" s="13" t="s">
        <v>370</v>
      </c>
      <c r="I380" s="12"/>
      <c r="J380" s="13">
        <v>676600822</v>
      </c>
      <c r="K380" s="13"/>
      <c r="L380" s="13" t="s">
        <v>935</v>
      </c>
      <c r="M380" s="14" t="s">
        <v>1073</v>
      </c>
      <c r="N380" s="13" t="s">
        <v>1068</v>
      </c>
      <c r="O380" s="12" t="s">
        <v>53</v>
      </c>
      <c r="P380" s="12" t="s">
        <v>174</v>
      </c>
      <c r="Q380" s="12" t="s">
        <v>868</v>
      </c>
      <c r="R380" s="12" t="s">
        <v>174</v>
      </c>
      <c r="S380" s="14" t="s">
        <v>166</v>
      </c>
      <c r="T380" s="12" t="s">
        <v>1110</v>
      </c>
      <c r="U380" s="14" t="s">
        <v>780</v>
      </c>
      <c r="V380" s="14"/>
      <c r="W380" s="14"/>
      <c r="X380" s="12"/>
      <c r="Y380" s="12"/>
      <c r="Z380" s="14"/>
      <c r="AA380" s="12"/>
      <c r="AB380" s="15"/>
      <c r="AC380" s="16">
        <v>0</v>
      </c>
      <c r="AD380" s="16">
        <v>0</v>
      </c>
      <c r="AE380" s="16">
        <v>0</v>
      </c>
      <c r="AF380" s="16">
        <v>0</v>
      </c>
      <c r="AG380" s="16">
        <v>1</v>
      </c>
      <c r="AH380" s="14" t="s">
        <v>166</v>
      </c>
      <c r="AI380" s="54">
        <v>0</v>
      </c>
      <c r="AJ380" s="54">
        <v>0</v>
      </c>
      <c r="AK380" s="54">
        <v>0</v>
      </c>
      <c r="AL380" s="54">
        <v>0</v>
      </c>
      <c r="AM380" s="54">
        <v>1</v>
      </c>
      <c r="AN380" s="14" t="s">
        <v>166</v>
      </c>
    </row>
    <row r="381" spans="1:40" ht="47.25" x14ac:dyDescent="0.25">
      <c r="A381" s="12" t="s">
        <v>1639</v>
      </c>
      <c r="B381" s="12" t="s">
        <v>1640</v>
      </c>
      <c r="C381" s="12" t="s">
        <v>1134</v>
      </c>
      <c r="D381" s="13" t="s">
        <v>85</v>
      </c>
      <c r="E381" s="13" t="s">
        <v>87</v>
      </c>
      <c r="F381" s="13">
        <v>2263</v>
      </c>
      <c r="G381" s="13" t="s">
        <v>45</v>
      </c>
      <c r="H381" s="13" t="s">
        <v>362</v>
      </c>
      <c r="I381" s="12"/>
      <c r="J381" s="13">
        <v>682862194</v>
      </c>
      <c r="K381" s="13"/>
      <c r="L381" s="13" t="s">
        <v>363</v>
      </c>
      <c r="M381" s="14" t="s">
        <v>1073</v>
      </c>
      <c r="N381" s="13" t="s">
        <v>1068</v>
      </c>
      <c r="O381" s="12" t="s">
        <v>53</v>
      </c>
      <c r="P381" s="12" t="s">
        <v>174</v>
      </c>
      <c r="Q381" s="12" t="s">
        <v>868</v>
      </c>
      <c r="R381" s="12" t="s">
        <v>174</v>
      </c>
      <c r="S381" s="14" t="s">
        <v>166</v>
      </c>
      <c r="T381" s="12" t="s">
        <v>1110</v>
      </c>
      <c r="U381" s="14" t="s">
        <v>780</v>
      </c>
      <c r="V381" s="14"/>
      <c r="W381" s="14"/>
      <c r="X381" s="12"/>
      <c r="Y381" s="12"/>
      <c r="Z381" s="14"/>
      <c r="AA381" s="12"/>
      <c r="AB381" s="15"/>
      <c r="AC381" s="16">
        <v>0</v>
      </c>
      <c r="AD381" s="16">
        <v>0</v>
      </c>
      <c r="AE381" s="16">
        <v>1</v>
      </c>
      <c r="AF381" s="16">
        <v>0</v>
      </c>
      <c r="AG381" s="16">
        <v>0</v>
      </c>
      <c r="AH381" s="14" t="s">
        <v>166</v>
      </c>
      <c r="AI381" s="54">
        <v>0</v>
      </c>
      <c r="AJ381" s="54">
        <v>0</v>
      </c>
      <c r="AK381" s="54">
        <v>1</v>
      </c>
      <c r="AL381" s="54">
        <v>0</v>
      </c>
      <c r="AM381" s="54">
        <v>0</v>
      </c>
      <c r="AN381" s="14" t="s">
        <v>166</v>
      </c>
    </row>
    <row r="382" spans="1:40" ht="47.25" x14ac:dyDescent="0.25">
      <c r="A382" s="12" t="s">
        <v>1639</v>
      </c>
      <c r="B382" s="12" t="s">
        <v>1640</v>
      </c>
      <c r="C382" s="12" t="s">
        <v>1134</v>
      </c>
      <c r="D382" s="13" t="s">
        <v>85</v>
      </c>
      <c r="E382" s="13" t="s">
        <v>87</v>
      </c>
      <c r="F382" s="13">
        <v>1864</v>
      </c>
      <c r="G382" s="13" t="s">
        <v>45</v>
      </c>
      <c r="H382" s="13" t="s">
        <v>364</v>
      </c>
      <c r="I382" s="12"/>
      <c r="J382" s="13">
        <v>696140918</v>
      </c>
      <c r="K382" s="13"/>
      <c r="L382" s="13" t="s">
        <v>365</v>
      </c>
      <c r="M382" s="14" t="s">
        <v>1073</v>
      </c>
      <c r="N382" s="13" t="s">
        <v>1068</v>
      </c>
      <c r="O382" s="12" t="s">
        <v>53</v>
      </c>
      <c r="P382" s="12" t="s">
        <v>174</v>
      </c>
      <c r="Q382" s="12" t="s">
        <v>868</v>
      </c>
      <c r="R382" s="12" t="s">
        <v>174</v>
      </c>
      <c r="S382" s="14" t="s">
        <v>166</v>
      </c>
      <c r="T382" s="12" t="s">
        <v>174</v>
      </c>
      <c r="U382" s="14" t="s">
        <v>780</v>
      </c>
      <c r="V382" s="14"/>
      <c r="W382" s="14"/>
      <c r="X382" s="12"/>
      <c r="Y382" s="12"/>
      <c r="Z382" s="14"/>
      <c r="AA382" s="12"/>
      <c r="AB382" s="15"/>
      <c r="AC382" s="16">
        <v>1</v>
      </c>
      <c r="AD382" s="16">
        <v>0</v>
      </c>
      <c r="AE382" s="16">
        <v>0</v>
      </c>
      <c r="AF382" s="16">
        <v>0</v>
      </c>
      <c r="AG382" s="16">
        <v>0</v>
      </c>
      <c r="AH382" s="14" t="s">
        <v>166</v>
      </c>
      <c r="AI382" s="54">
        <v>1</v>
      </c>
      <c r="AJ382" s="54">
        <v>0</v>
      </c>
      <c r="AK382" s="54">
        <v>0</v>
      </c>
      <c r="AL382" s="54">
        <v>0</v>
      </c>
      <c r="AM382" s="54">
        <v>0</v>
      </c>
      <c r="AN382" s="14" t="s">
        <v>166</v>
      </c>
    </row>
    <row r="383" spans="1:40" ht="47.25" x14ac:dyDescent="0.25">
      <c r="A383" s="12" t="s">
        <v>1641</v>
      </c>
      <c r="B383" s="12" t="s">
        <v>1642</v>
      </c>
      <c r="C383" s="12" t="s">
        <v>1134</v>
      </c>
      <c r="D383" s="13" t="s">
        <v>75</v>
      </c>
      <c r="E383" s="13" t="s">
        <v>76</v>
      </c>
      <c r="F383" s="13">
        <v>1708</v>
      </c>
      <c r="G383" s="13" t="s">
        <v>35</v>
      </c>
      <c r="H383" s="13" t="s">
        <v>344</v>
      </c>
      <c r="I383" s="12"/>
      <c r="J383" s="13">
        <v>682847003</v>
      </c>
      <c r="K383" s="13"/>
      <c r="L383" s="13" t="s">
        <v>345</v>
      </c>
      <c r="M383" s="14" t="s">
        <v>1073</v>
      </c>
      <c r="N383" s="13" t="s">
        <v>1068</v>
      </c>
      <c r="O383" s="12" t="s">
        <v>53</v>
      </c>
      <c r="P383" s="12" t="s">
        <v>174</v>
      </c>
      <c r="Q383" s="12" t="s">
        <v>868</v>
      </c>
      <c r="R383" s="12" t="s">
        <v>174</v>
      </c>
      <c r="S383" s="14" t="s">
        <v>166</v>
      </c>
      <c r="T383" s="12" t="s">
        <v>174</v>
      </c>
      <c r="U383" s="14" t="s">
        <v>780</v>
      </c>
      <c r="V383" s="14"/>
      <c r="W383" s="14"/>
      <c r="X383" s="12"/>
      <c r="Y383" s="12"/>
      <c r="Z383" s="14"/>
      <c r="AA383" s="12"/>
      <c r="AB383" s="15"/>
      <c r="AC383" s="16">
        <v>0</v>
      </c>
      <c r="AD383" s="16">
        <v>0</v>
      </c>
      <c r="AE383" s="16">
        <v>0</v>
      </c>
      <c r="AF383" s="16">
        <v>1</v>
      </c>
      <c r="AG383" s="16">
        <v>0</v>
      </c>
      <c r="AH383" s="14" t="s">
        <v>166</v>
      </c>
      <c r="AI383" s="54">
        <v>0</v>
      </c>
      <c r="AJ383" s="54">
        <v>0</v>
      </c>
      <c r="AK383" s="54">
        <v>0</v>
      </c>
      <c r="AL383" s="54">
        <v>1</v>
      </c>
      <c r="AM383" s="54">
        <v>0</v>
      </c>
      <c r="AN383" s="14" t="s">
        <v>166</v>
      </c>
    </row>
    <row r="384" spans="1:40" ht="47.25" x14ac:dyDescent="0.25">
      <c r="A384" s="12" t="s">
        <v>1643</v>
      </c>
      <c r="B384" s="12" t="s">
        <v>1644</v>
      </c>
      <c r="C384" s="12" t="s">
        <v>1134</v>
      </c>
      <c r="D384" s="13" t="s">
        <v>85</v>
      </c>
      <c r="E384" s="13" t="s">
        <v>87</v>
      </c>
      <c r="F384" s="13">
        <v>107</v>
      </c>
      <c r="G384" s="13" t="s">
        <v>35</v>
      </c>
      <c r="H384" s="13" t="s">
        <v>356</v>
      </c>
      <c r="I384" s="12"/>
      <c r="J384" s="13">
        <v>682841040</v>
      </c>
      <c r="K384" s="13"/>
      <c r="L384" s="13" t="s">
        <v>357</v>
      </c>
      <c r="M384" s="14" t="s">
        <v>1074</v>
      </c>
      <c r="N384" s="13" t="s">
        <v>1069</v>
      </c>
      <c r="O384" s="12" t="s">
        <v>53</v>
      </c>
      <c r="P384" s="12" t="s">
        <v>174</v>
      </c>
      <c r="Q384" s="12" t="s">
        <v>868</v>
      </c>
      <c r="R384" s="12" t="s">
        <v>174</v>
      </c>
      <c r="S384" s="14" t="s">
        <v>166</v>
      </c>
      <c r="T384" s="12" t="s">
        <v>1110</v>
      </c>
      <c r="U384" s="14" t="s">
        <v>781</v>
      </c>
      <c r="V384" s="14"/>
      <c r="W384" s="14"/>
      <c r="X384" s="12"/>
      <c r="Y384" s="12"/>
      <c r="Z384" s="14"/>
      <c r="AA384" s="12"/>
      <c r="AB384" s="15"/>
      <c r="AC384" s="16">
        <v>0</v>
      </c>
      <c r="AD384" s="16">
        <v>0</v>
      </c>
      <c r="AE384" s="16">
        <v>0</v>
      </c>
      <c r="AF384" s="16">
        <v>1</v>
      </c>
      <c r="AG384" s="16">
        <v>0</v>
      </c>
      <c r="AH384" s="14" t="s">
        <v>166</v>
      </c>
      <c r="AI384" s="54">
        <v>0</v>
      </c>
      <c r="AJ384" s="54">
        <v>0</v>
      </c>
      <c r="AK384" s="54">
        <v>0</v>
      </c>
      <c r="AL384" s="54">
        <v>1</v>
      </c>
      <c r="AM384" s="54">
        <v>0</v>
      </c>
      <c r="AN384" s="14" t="s">
        <v>166</v>
      </c>
    </row>
    <row r="385" spans="1:40" ht="47.25" x14ac:dyDescent="0.25">
      <c r="A385" s="12" t="s">
        <v>1645</v>
      </c>
      <c r="B385" s="12" t="s">
        <v>1646</v>
      </c>
      <c r="C385" s="12" t="s">
        <v>1134</v>
      </c>
      <c r="D385" s="13" t="s">
        <v>975</v>
      </c>
      <c r="E385" s="13" t="s">
        <v>977</v>
      </c>
      <c r="F385" s="13">
        <v>3213</v>
      </c>
      <c r="G385" s="13" t="s">
        <v>35</v>
      </c>
      <c r="H385" s="13" t="s">
        <v>566</v>
      </c>
      <c r="I385" s="12"/>
      <c r="J385" s="13">
        <v>660947619</v>
      </c>
      <c r="K385" s="13"/>
      <c r="L385" s="13" t="s">
        <v>567</v>
      </c>
      <c r="M385" s="14" t="s">
        <v>1073</v>
      </c>
      <c r="N385" s="13" t="s">
        <v>1068</v>
      </c>
      <c r="O385" s="12">
        <v>2</v>
      </c>
      <c r="P385" s="12" t="s">
        <v>174</v>
      </c>
      <c r="Q385" s="12" t="s">
        <v>868</v>
      </c>
      <c r="R385" s="12" t="s">
        <v>174</v>
      </c>
      <c r="S385" s="14" t="s">
        <v>166</v>
      </c>
      <c r="T385" s="12" t="s">
        <v>1110</v>
      </c>
      <c r="U385" s="14" t="s">
        <v>780</v>
      </c>
      <c r="V385" s="14"/>
      <c r="W385" s="14"/>
      <c r="X385" s="12"/>
      <c r="Y385" s="12"/>
      <c r="Z385" s="14"/>
      <c r="AA385" s="12"/>
      <c r="AB385" s="15"/>
      <c r="AC385" s="16">
        <v>0</v>
      </c>
      <c r="AD385" s="16">
        <v>0</v>
      </c>
      <c r="AE385" s="16">
        <v>0</v>
      </c>
      <c r="AF385" s="16">
        <v>1</v>
      </c>
      <c r="AG385" s="16">
        <v>0</v>
      </c>
      <c r="AH385" s="14" t="s">
        <v>166</v>
      </c>
      <c r="AI385" s="54">
        <v>0</v>
      </c>
      <c r="AJ385" s="54">
        <v>0</v>
      </c>
      <c r="AK385" s="54">
        <v>0</v>
      </c>
      <c r="AL385" s="54">
        <v>1</v>
      </c>
      <c r="AM385" s="54">
        <v>0</v>
      </c>
      <c r="AN385" s="14" t="s">
        <v>166</v>
      </c>
    </row>
    <row r="386" spans="1:40" ht="47.25" x14ac:dyDescent="0.25">
      <c r="A386" s="12" t="s">
        <v>1647</v>
      </c>
      <c r="B386" s="12" t="s">
        <v>1648</v>
      </c>
      <c r="C386" s="12" t="s">
        <v>1134</v>
      </c>
      <c r="D386" s="13" t="s">
        <v>976</v>
      </c>
      <c r="E386" s="13" t="s">
        <v>977</v>
      </c>
      <c r="F386" s="13">
        <v>1845</v>
      </c>
      <c r="G386" s="13" t="s">
        <v>35</v>
      </c>
      <c r="H386" s="13" t="s">
        <v>578</v>
      </c>
      <c r="I386" s="12"/>
      <c r="J386" s="13">
        <v>648753215</v>
      </c>
      <c r="K386" s="13"/>
      <c r="L386" s="13" t="s">
        <v>579</v>
      </c>
      <c r="M386" s="14" t="s">
        <v>1074</v>
      </c>
      <c r="N386" s="13" t="s">
        <v>1069</v>
      </c>
      <c r="O386" s="12" t="s">
        <v>53</v>
      </c>
      <c r="P386" s="12" t="s">
        <v>1045</v>
      </c>
      <c r="Q386" s="12" t="s">
        <v>174</v>
      </c>
      <c r="R386" s="12" t="s">
        <v>174</v>
      </c>
      <c r="S386" s="14" t="s">
        <v>166</v>
      </c>
      <c r="T386" s="12" t="s">
        <v>174</v>
      </c>
      <c r="U386" s="14" t="s">
        <v>781</v>
      </c>
      <c r="V386" s="14"/>
      <c r="W386" s="14"/>
      <c r="X386" s="12"/>
      <c r="Y386" s="12"/>
      <c r="Z386" s="14"/>
      <c r="AA386" s="12"/>
      <c r="AB386" s="15"/>
      <c r="AC386" s="16">
        <v>0</v>
      </c>
      <c r="AD386" s="16">
        <v>0</v>
      </c>
      <c r="AE386" s="16">
        <v>0</v>
      </c>
      <c r="AF386" s="16">
        <v>1</v>
      </c>
      <c r="AG386" s="16">
        <v>0</v>
      </c>
      <c r="AH386" s="14" t="s">
        <v>166</v>
      </c>
      <c r="AI386" s="54">
        <v>0</v>
      </c>
      <c r="AJ386" s="54">
        <v>0</v>
      </c>
      <c r="AK386" s="54">
        <v>0</v>
      </c>
      <c r="AL386" s="54">
        <v>1</v>
      </c>
      <c r="AM386" s="54">
        <v>0</v>
      </c>
      <c r="AN386" s="14" t="s">
        <v>166</v>
      </c>
    </row>
    <row r="387" spans="1:40" ht="47.25" x14ac:dyDescent="0.25">
      <c r="A387" s="12" t="s">
        <v>1649</v>
      </c>
      <c r="B387" s="12" t="s">
        <v>1650</v>
      </c>
      <c r="C387" s="12" t="s">
        <v>1134</v>
      </c>
      <c r="D387" s="13" t="s">
        <v>85</v>
      </c>
      <c r="E387" s="13" t="s">
        <v>87</v>
      </c>
      <c r="F387" s="13">
        <v>99</v>
      </c>
      <c r="G387" s="13" t="s">
        <v>59</v>
      </c>
      <c r="H387" s="13" t="s">
        <v>354</v>
      </c>
      <c r="I387" s="12"/>
      <c r="J387" s="13">
        <v>690622210</v>
      </c>
      <c r="K387" s="13"/>
      <c r="L387" s="13" t="s">
        <v>355</v>
      </c>
      <c r="M387" s="14" t="s">
        <v>1074</v>
      </c>
      <c r="N387" s="13" t="s">
        <v>1069</v>
      </c>
      <c r="O387" s="12" t="s">
        <v>53</v>
      </c>
      <c r="P387" s="12" t="s">
        <v>174</v>
      </c>
      <c r="Q387" s="12" t="s">
        <v>868</v>
      </c>
      <c r="R387" s="12" t="s">
        <v>174</v>
      </c>
      <c r="S387" s="14" t="s">
        <v>166</v>
      </c>
      <c r="T387" s="12" t="s">
        <v>1110</v>
      </c>
      <c r="U387" s="14" t="s">
        <v>781</v>
      </c>
      <c r="V387" s="14"/>
      <c r="W387" s="14"/>
      <c r="X387" s="12"/>
      <c r="Y387" s="12"/>
      <c r="Z387" s="14"/>
      <c r="AA387" s="12"/>
      <c r="AB387" s="15"/>
      <c r="AC387" s="16">
        <v>0</v>
      </c>
      <c r="AD387" s="16">
        <v>0</v>
      </c>
      <c r="AE387" s="16">
        <v>0</v>
      </c>
      <c r="AF387" s="16">
        <v>1</v>
      </c>
      <c r="AG387" s="16">
        <v>0</v>
      </c>
      <c r="AH387" s="14" t="s">
        <v>166</v>
      </c>
      <c r="AI387" s="54">
        <v>0</v>
      </c>
      <c r="AJ387" s="54">
        <v>0</v>
      </c>
      <c r="AK387" s="54">
        <v>0</v>
      </c>
      <c r="AL387" s="54">
        <v>1</v>
      </c>
      <c r="AM387" s="54">
        <v>0</v>
      </c>
      <c r="AN387" s="14" t="s">
        <v>166</v>
      </c>
    </row>
    <row r="388" spans="1:40" ht="47.25" x14ac:dyDescent="0.25">
      <c r="A388" s="12" t="s">
        <v>1651</v>
      </c>
      <c r="B388" s="12" t="s">
        <v>1652</v>
      </c>
      <c r="C388" s="12" t="s">
        <v>1134</v>
      </c>
      <c r="D388" s="13" t="s">
        <v>975</v>
      </c>
      <c r="E388" s="13" t="s">
        <v>977</v>
      </c>
      <c r="F388" s="13">
        <v>1744</v>
      </c>
      <c r="G388" s="13" t="s">
        <v>59</v>
      </c>
      <c r="H388" s="13" t="s">
        <v>572</v>
      </c>
      <c r="I388" s="12"/>
      <c r="J388" s="13">
        <v>676119512</v>
      </c>
      <c r="K388" s="13"/>
      <c r="L388" s="13" t="s">
        <v>573</v>
      </c>
      <c r="M388" s="14" t="s">
        <v>1073</v>
      </c>
      <c r="N388" s="13" t="s">
        <v>1068</v>
      </c>
      <c r="O388" s="12">
        <v>2</v>
      </c>
      <c r="P388" s="12" t="s">
        <v>174</v>
      </c>
      <c r="Q388" s="12" t="s">
        <v>868</v>
      </c>
      <c r="R388" s="12" t="s">
        <v>174</v>
      </c>
      <c r="S388" s="14" t="s">
        <v>166</v>
      </c>
      <c r="T388" s="12" t="s">
        <v>1110</v>
      </c>
      <c r="U388" s="14" t="s">
        <v>780</v>
      </c>
      <c r="V388" s="14"/>
      <c r="W388" s="14"/>
      <c r="X388" s="12"/>
      <c r="Y388" s="12"/>
      <c r="Z388" s="14"/>
      <c r="AA388" s="12"/>
      <c r="AB388" s="15"/>
      <c r="AC388" s="16">
        <v>0</v>
      </c>
      <c r="AD388" s="16">
        <v>1</v>
      </c>
      <c r="AE388" s="16">
        <v>0</v>
      </c>
      <c r="AF388" s="16">
        <v>0</v>
      </c>
      <c r="AG388" s="16">
        <v>0</v>
      </c>
      <c r="AH388" s="14" t="s">
        <v>166</v>
      </c>
      <c r="AI388" s="54">
        <v>0</v>
      </c>
      <c r="AJ388" s="54">
        <v>1</v>
      </c>
      <c r="AK388" s="54">
        <v>0</v>
      </c>
      <c r="AL388" s="54">
        <v>0</v>
      </c>
      <c r="AM388" s="54">
        <v>0</v>
      </c>
      <c r="AN388" s="14" t="s">
        <v>166</v>
      </c>
    </row>
    <row r="389" spans="1:40" ht="47.25" x14ac:dyDescent="0.25">
      <c r="A389" s="12" t="s">
        <v>1653</v>
      </c>
      <c r="B389" s="12" t="s">
        <v>1654</v>
      </c>
      <c r="C389" s="12" t="s">
        <v>1134</v>
      </c>
      <c r="D389" s="13" t="s">
        <v>976</v>
      </c>
      <c r="E389" s="13" t="s">
        <v>977</v>
      </c>
      <c r="F389" s="13">
        <v>1850</v>
      </c>
      <c r="G389" s="13" t="s">
        <v>59</v>
      </c>
      <c r="H389" s="13" t="s">
        <v>580</v>
      </c>
      <c r="I389" s="12"/>
      <c r="J389" s="13">
        <v>679465539</v>
      </c>
      <c r="K389" s="13"/>
      <c r="L389" s="13" t="s">
        <v>581</v>
      </c>
      <c r="M389" s="14" t="s">
        <v>1074</v>
      </c>
      <c r="N389" s="13" t="s">
        <v>1069</v>
      </c>
      <c r="O389" s="12" t="s">
        <v>53</v>
      </c>
      <c r="P389" s="12" t="s">
        <v>174</v>
      </c>
      <c r="Q389" s="12" t="s">
        <v>868</v>
      </c>
      <c r="R389" s="12" t="s">
        <v>174</v>
      </c>
      <c r="S389" s="14" t="s">
        <v>166</v>
      </c>
      <c r="T389" s="12" t="s">
        <v>174</v>
      </c>
      <c r="U389" s="14" t="s">
        <v>781</v>
      </c>
      <c r="V389" s="14"/>
      <c r="W389" s="14"/>
      <c r="X389" s="12"/>
      <c r="Y389" s="12"/>
      <c r="Z389" s="14"/>
      <c r="AA389" s="12"/>
      <c r="AB389" s="15"/>
      <c r="AC389" s="16">
        <v>0</v>
      </c>
      <c r="AD389" s="16">
        <v>0</v>
      </c>
      <c r="AE389" s="16">
        <v>1</v>
      </c>
      <c r="AF389" s="16">
        <v>0</v>
      </c>
      <c r="AG389" s="16">
        <v>0</v>
      </c>
      <c r="AH389" s="14" t="s">
        <v>166</v>
      </c>
      <c r="AI389" s="54">
        <v>0</v>
      </c>
      <c r="AJ389" s="54">
        <v>0</v>
      </c>
      <c r="AK389" s="54">
        <v>1</v>
      </c>
      <c r="AL389" s="54">
        <v>0</v>
      </c>
      <c r="AM389" s="54">
        <v>0</v>
      </c>
      <c r="AN389" s="14" t="s">
        <v>166</v>
      </c>
    </row>
    <row r="390" spans="1:40" ht="47.25" x14ac:dyDescent="0.25">
      <c r="A390" s="12" t="s">
        <v>1655</v>
      </c>
      <c r="B390" s="12" t="s">
        <v>1656</v>
      </c>
      <c r="C390" s="12" t="s">
        <v>1134</v>
      </c>
      <c r="D390" s="13" t="s">
        <v>85</v>
      </c>
      <c r="E390" s="13" t="s">
        <v>87</v>
      </c>
      <c r="F390" s="13">
        <v>1859</v>
      </c>
      <c r="G390" s="13" t="s">
        <v>88</v>
      </c>
      <c r="H390" s="13" t="s">
        <v>350</v>
      </c>
      <c r="I390" s="12"/>
      <c r="J390" s="13">
        <v>682899923</v>
      </c>
      <c r="K390" s="13"/>
      <c r="L390" s="13" t="s">
        <v>351</v>
      </c>
      <c r="M390" s="14" t="s">
        <v>1074</v>
      </c>
      <c r="N390" s="13" t="s">
        <v>1069</v>
      </c>
      <c r="O390" s="12" t="s">
        <v>53</v>
      </c>
      <c r="P390" s="12" t="s">
        <v>174</v>
      </c>
      <c r="Q390" s="12" t="s">
        <v>868</v>
      </c>
      <c r="R390" s="12" t="s">
        <v>174</v>
      </c>
      <c r="S390" s="14" t="s">
        <v>166</v>
      </c>
      <c r="T390" s="12" t="s">
        <v>174</v>
      </c>
      <c r="U390" s="14" t="s">
        <v>781</v>
      </c>
      <c r="V390" s="14"/>
      <c r="W390" s="14"/>
      <c r="X390" s="12"/>
      <c r="Y390" s="12"/>
      <c r="Z390" s="14"/>
      <c r="AA390" s="12"/>
      <c r="AB390" s="15"/>
      <c r="AC390" s="16">
        <v>0</v>
      </c>
      <c r="AD390" s="16">
        <v>0</v>
      </c>
      <c r="AE390" s="16">
        <v>1</v>
      </c>
      <c r="AF390" s="16">
        <v>0</v>
      </c>
      <c r="AG390" s="16">
        <v>0</v>
      </c>
      <c r="AH390" s="14" t="s">
        <v>166</v>
      </c>
      <c r="AI390" s="54">
        <v>0</v>
      </c>
      <c r="AJ390" s="54">
        <v>0</v>
      </c>
      <c r="AK390" s="54">
        <v>1</v>
      </c>
      <c r="AL390" s="54">
        <v>0</v>
      </c>
      <c r="AM390" s="54">
        <v>0</v>
      </c>
      <c r="AN390" s="14" t="s">
        <v>166</v>
      </c>
    </row>
    <row r="391" spans="1:40" ht="47.25" x14ac:dyDescent="0.25">
      <c r="A391" s="12" t="s">
        <v>1655</v>
      </c>
      <c r="B391" s="12" t="s">
        <v>1656</v>
      </c>
      <c r="C391" s="12" t="s">
        <v>1134</v>
      </c>
      <c r="D391" s="13" t="s">
        <v>85</v>
      </c>
      <c r="E391" s="13" t="s">
        <v>87</v>
      </c>
      <c r="F391" s="13">
        <v>40</v>
      </c>
      <c r="G391" s="13" t="s">
        <v>88</v>
      </c>
      <c r="H391" s="13" t="s">
        <v>352</v>
      </c>
      <c r="I391" s="12"/>
      <c r="J391" s="13">
        <v>648838023</v>
      </c>
      <c r="K391" s="13"/>
      <c r="L391" s="13" t="s">
        <v>353</v>
      </c>
      <c r="M391" s="14" t="s">
        <v>1074</v>
      </c>
      <c r="N391" s="13" t="s">
        <v>1069</v>
      </c>
      <c r="O391" s="12" t="s">
        <v>53</v>
      </c>
      <c r="P391" s="12" t="s">
        <v>174</v>
      </c>
      <c r="Q391" s="12" t="s">
        <v>174</v>
      </c>
      <c r="R391" s="12" t="s">
        <v>174</v>
      </c>
      <c r="S391" s="14" t="s">
        <v>166</v>
      </c>
      <c r="T391" s="12" t="s">
        <v>1110</v>
      </c>
      <c r="U391" s="14" t="s">
        <v>781</v>
      </c>
      <c r="V391" s="14"/>
      <c r="W391" s="14"/>
      <c r="X391" s="12"/>
      <c r="Y391" s="12"/>
      <c r="Z391" s="14"/>
      <c r="AA391" s="12"/>
      <c r="AB391" s="15"/>
      <c r="AC391" s="16">
        <v>0</v>
      </c>
      <c r="AD391" s="16">
        <v>0</v>
      </c>
      <c r="AE391" s="16">
        <v>0</v>
      </c>
      <c r="AF391" s="16">
        <v>1</v>
      </c>
      <c r="AG391" s="16">
        <v>0</v>
      </c>
      <c r="AH391" s="14" t="s">
        <v>166</v>
      </c>
      <c r="AI391" s="54">
        <v>0</v>
      </c>
      <c r="AJ391" s="54">
        <v>0</v>
      </c>
      <c r="AK391" s="54">
        <v>0</v>
      </c>
      <c r="AL391" s="54">
        <v>1</v>
      </c>
      <c r="AM391" s="54">
        <v>0</v>
      </c>
      <c r="AN391" s="14" t="s">
        <v>166</v>
      </c>
    </row>
    <row r="392" spans="1:40" ht="47.25" x14ac:dyDescent="0.25">
      <c r="A392" s="12" t="s">
        <v>1657</v>
      </c>
      <c r="B392" s="12" t="s">
        <v>1658</v>
      </c>
      <c r="C392" s="12" t="s">
        <v>1132</v>
      </c>
      <c r="D392" s="13" t="s">
        <v>26</v>
      </c>
      <c r="E392" s="13" t="s">
        <v>26</v>
      </c>
      <c r="F392" s="13">
        <v>1694</v>
      </c>
      <c r="G392" s="13" t="s">
        <v>27</v>
      </c>
      <c r="H392" s="13" t="s">
        <v>604</v>
      </c>
      <c r="I392" s="12"/>
      <c r="J392" s="13">
        <v>686775323</v>
      </c>
      <c r="K392" s="13"/>
      <c r="L392" s="13" t="s">
        <v>605</v>
      </c>
      <c r="M392" s="14" t="s">
        <v>1073</v>
      </c>
      <c r="N392" s="13" t="s">
        <v>1068</v>
      </c>
      <c r="O392" s="12">
        <v>3</v>
      </c>
      <c r="P392" s="12" t="s">
        <v>174</v>
      </c>
      <c r="Q392" s="12" t="s">
        <v>174</v>
      </c>
      <c r="R392" s="12" t="s">
        <v>867</v>
      </c>
      <c r="S392" s="14" t="s">
        <v>166</v>
      </c>
      <c r="T392" s="12" t="s">
        <v>1110</v>
      </c>
      <c r="U392" s="14" t="s">
        <v>780</v>
      </c>
      <c r="V392" s="14"/>
      <c r="W392" s="14"/>
      <c r="X392" s="12"/>
      <c r="Y392" s="12"/>
      <c r="Z392" s="14"/>
      <c r="AA392" s="12"/>
      <c r="AB392" s="15"/>
      <c r="AC392" s="16" t="s">
        <v>111</v>
      </c>
      <c r="AD392" s="16" t="s">
        <v>111</v>
      </c>
      <c r="AE392" s="16" t="s">
        <v>111</v>
      </c>
      <c r="AF392" s="16" t="s">
        <v>111</v>
      </c>
      <c r="AG392" s="16" t="s">
        <v>111</v>
      </c>
      <c r="AH392" s="14" t="s">
        <v>1149</v>
      </c>
      <c r="AI392" s="54">
        <v>0</v>
      </c>
      <c r="AJ392" s="54">
        <v>0</v>
      </c>
      <c r="AK392" s="54">
        <v>0</v>
      </c>
      <c r="AL392" s="54">
        <v>0</v>
      </c>
      <c r="AM392" s="54">
        <v>1</v>
      </c>
      <c r="AN392" s="14" t="s">
        <v>166</v>
      </c>
    </row>
    <row r="393" spans="1:40" ht="47.25" x14ac:dyDescent="0.25">
      <c r="A393" s="12" t="s">
        <v>1659</v>
      </c>
      <c r="B393" s="12" t="s">
        <v>1660</v>
      </c>
      <c r="C393" s="12" t="s">
        <v>1132</v>
      </c>
      <c r="D393" s="13" t="s">
        <v>28</v>
      </c>
      <c r="E393" s="13" t="s">
        <v>28</v>
      </c>
      <c r="F393" s="13">
        <v>1821</v>
      </c>
      <c r="G393" s="13" t="s">
        <v>29</v>
      </c>
      <c r="H393" s="13" t="s">
        <v>619</v>
      </c>
      <c r="I393" s="12"/>
      <c r="J393" s="13">
        <v>646011922</v>
      </c>
      <c r="K393" s="13"/>
      <c r="L393" s="13" t="s">
        <v>620</v>
      </c>
      <c r="M393" s="14" t="s">
        <v>1073</v>
      </c>
      <c r="N393" s="13" t="s">
        <v>1068</v>
      </c>
      <c r="O393" s="12">
        <v>3</v>
      </c>
      <c r="P393" s="12" t="s">
        <v>174</v>
      </c>
      <c r="Q393" s="12" t="s">
        <v>868</v>
      </c>
      <c r="R393" s="12" t="s">
        <v>174</v>
      </c>
      <c r="S393" s="14" t="s">
        <v>166</v>
      </c>
      <c r="T393" s="12" t="s">
        <v>1110</v>
      </c>
      <c r="U393" s="14" t="s">
        <v>780</v>
      </c>
      <c r="V393" s="14"/>
      <c r="W393" s="14"/>
      <c r="X393" s="12"/>
      <c r="Y393" s="12"/>
      <c r="Z393" s="14"/>
      <c r="AA393" s="12"/>
      <c r="AB393" s="15"/>
      <c r="AC393" s="16" t="s">
        <v>111</v>
      </c>
      <c r="AD393" s="16">
        <v>0</v>
      </c>
      <c r="AE393" s="16">
        <v>0</v>
      </c>
      <c r="AF393" s="16">
        <v>1</v>
      </c>
      <c r="AG393" s="16">
        <v>0</v>
      </c>
      <c r="AH393" s="14" t="s">
        <v>1149</v>
      </c>
      <c r="AI393" s="54">
        <v>0</v>
      </c>
      <c r="AJ393" s="54">
        <v>0</v>
      </c>
      <c r="AK393" s="54">
        <v>0</v>
      </c>
      <c r="AL393" s="54">
        <v>1</v>
      </c>
      <c r="AM393" s="54">
        <v>1</v>
      </c>
      <c r="AN393" s="14" t="s">
        <v>166</v>
      </c>
    </row>
    <row r="394" spans="1:40" ht="47.25" x14ac:dyDescent="0.25">
      <c r="A394" s="12" t="s">
        <v>1661</v>
      </c>
      <c r="B394" s="12" t="s">
        <v>1662</v>
      </c>
      <c r="C394" s="12" t="s">
        <v>1132</v>
      </c>
      <c r="D394" s="13" t="s">
        <v>30</v>
      </c>
      <c r="E394" s="13" t="s">
        <v>30</v>
      </c>
      <c r="F394" s="13">
        <v>1827</v>
      </c>
      <c r="G394" s="13" t="s">
        <v>31</v>
      </c>
      <c r="H394" s="13" t="s">
        <v>613</v>
      </c>
      <c r="I394" s="12"/>
      <c r="J394" s="13">
        <v>616472835</v>
      </c>
      <c r="K394" s="13"/>
      <c r="L394" s="13" t="s">
        <v>614</v>
      </c>
      <c r="M394" s="14" t="s">
        <v>1073</v>
      </c>
      <c r="N394" s="13" t="s">
        <v>1068</v>
      </c>
      <c r="O394" s="12">
        <v>3</v>
      </c>
      <c r="P394" s="12" t="s">
        <v>174</v>
      </c>
      <c r="Q394" s="12" t="s">
        <v>868</v>
      </c>
      <c r="R394" s="12" t="s">
        <v>174</v>
      </c>
      <c r="S394" s="14" t="s">
        <v>166</v>
      </c>
      <c r="T394" s="12" t="s">
        <v>1110</v>
      </c>
      <c r="U394" s="14" t="s">
        <v>780</v>
      </c>
      <c r="V394" s="14"/>
      <c r="W394" s="14"/>
      <c r="X394" s="12"/>
      <c r="Y394" s="12"/>
      <c r="Z394" s="14"/>
      <c r="AA394" s="12"/>
      <c r="AB394" s="15"/>
      <c r="AC394" s="16" t="s">
        <v>111</v>
      </c>
      <c r="AD394" s="16">
        <v>1</v>
      </c>
      <c r="AE394" s="16">
        <v>0</v>
      </c>
      <c r="AF394" s="16">
        <v>0</v>
      </c>
      <c r="AG394" s="16">
        <v>0</v>
      </c>
      <c r="AH394" s="14" t="s">
        <v>1149</v>
      </c>
      <c r="AI394" s="54">
        <v>0</v>
      </c>
      <c r="AJ394" s="54">
        <v>0</v>
      </c>
      <c r="AK394" s="54">
        <v>1</v>
      </c>
      <c r="AL394" s="54">
        <v>0</v>
      </c>
      <c r="AM394" s="54">
        <v>0</v>
      </c>
      <c r="AN394" s="14" t="s">
        <v>166</v>
      </c>
    </row>
    <row r="395" spans="1:40" ht="126" x14ac:dyDescent="0.25">
      <c r="A395" s="12" t="s">
        <v>1663</v>
      </c>
      <c r="B395" s="12" t="s">
        <v>1664</v>
      </c>
      <c r="C395" s="12" t="s">
        <v>1132</v>
      </c>
      <c r="D395" s="13" t="s">
        <v>1112</v>
      </c>
      <c r="E395" s="13" t="s">
        <v>1113</v>
      </c>
      <c r="F395" s="13">
        <v>1880</v>
      </c>
      <c r="G395" s="13" t="s">
        <v>34</v>
      </c>
      <c r="H395" s="13" t="s">
        <v>631</v>
      </c>
      <c r="I395" s="12"/>
      <c r="J395" s="13">
        <v>618069497</v>
      </c>
      <c r="K395" s="13"/>
      <c r="L395" s="13" t="s">
        <v>632</v>
      </c>
      <c r="M395" s="14" t="s">
        <v>1074</v>
      </c>
      <c r="N395" s="13" t="s">
        <v>1069</v>
      </c>
      <c r="O395" s="12">
        <v>6</v>
      </c>
      <c r="P395" s="12" t="s">
        <v>174</v>
      </c>
      <c r="Q395" s="12" t="s">
        <v>868</v>
      </c>
      <c r="R395" s="12" t="s">
        <v>174</v>
      </c>
      <c r="S395" s="14" t="s">
        <v>166</v>
      </c>
      <c r="T395" s="12" t="s">
        <v>1110</v>
      </c>
      <c r="U395" s="14" t="s">
        <v>781</v>
      </c>
      <c r="V395" s="14"/>
      <c r="W395" s="14"/>
      <c r="X395" s="12"/>
      <c r="Y395" s="12"/>
      <c r="Z395" s="14"/>
      <c r="AA395" s="12"/>
      <c r="AB395" s="15"/>
      <c r="AC395" s="16">
        <v>0</v>
      </c>
      <c r="AD395" s="16">
        <v>1</v>
      </c>
      <c r="AE395" s="16">
        <v>0</v>
      </c>
      <c r="AF395" s="16">
        <v>0</v>
      </c>
      <c r="AG395" s="16">
        <v>0</v>
      </c>
      <c r="AH395" s="14" t="s">
        <v>166</v>
      </c>
      <c r="AI395" s="54">
        <v>0</v>
      </c>
      <c r="AJ395" s="54">
        <v>1</v>
      </c>
      <c r="AK395" s="54">
        <v>0</v>
      </c>
      <c r="AL395" s="54">
        <v>0</v>
      </c>
      <c r="AM395" s="54">
        <v>0</v>
      </c>
      <c r="AN395" s="14" t="s">
        <v>166</v>
      </c>
    </row>
    <row r="396" spans="1:40" ht="126" x14ac:dyDescent="0.25">
      <c r="A396" s="12" t="s">
        <v>1663</v>
      </c>
      <c r="B396" s="12" t="s">
        <v>1664</v>
      </c>
      <c r="C396" s="12" t="s">
        <v>1132</v>
      </c>
      <c r="D396" s="13" t="s">
        <v>1112</v>
      </c>
      <c r="E396" s="13" t="s">
        <v>1113</v>
      </c>
      <c r="F396" s="13">
        <v>1715</v>
      </c>
      <c r="G396" s="13" t="s">
        <v>34</v>
      </c>
      <c r="H396" s="13" t="s">
        <v>651</v>
      </c>
      <c r="I396" s="12"/>
      <c r="J396" s="13">
        <v>626927491</v>
      </c>
      <c r="K396" s="13"/>
      <c r="L396" s="13" t="s">
        <v>652</v>
      </c>
      <c r="M396" s="14" t="s">
        <v>1073</v>
      </c>
      <c r="N396" s="13" t="s">
        <v>1068</v>
      </c>
      <c r="O396" s="12">
        <v>2</v>
      </c>
      <c r="P396" s="12" t="s">
        <v>174</v>
      </c>
      <c r="Q396" s="12" t="s">
        <v>868</v>
      </c>
      <c r="R396" s="12" t="s">
        <v>174</v>
      </c>
      <c r="S396" s="14" t="s">
        <v>166</v>
      </c>
      <c r="T396" s="12" t="s">
        <v>1110</v>
      </c>
      <c r="U396" s="14" t="s">
        <v>780</v>
      </c>
      <c r="V396" s="14"/>
      <c r="W396" s="14"/>
      <c r="X396" s="12"/>
      <c r="Y396" s="12"/>
      <c r="Z396" s="14"/>
      <c r="AA396" s="12"/>
      <c r="AB396" s="15"/>
      <c r="AC396" s="16">
        <v>1</v>
      </c>
      <c r="AD396" s="16">
        <v>1</v>
      </c>
      <c r="AE396" s="16">
        <v>0</v>
      </c>
      <c r="AF396" s="16">
        <v>0</v>
      </c>
      <c r="AG396" s="16">
        <v>0</v>
      </c>
      <c r="AH396" s="14" t="s">
        <v>166</v>
      </c>
      <c r="AI396" s="54">
        <v>1</v>
      </c>
      <c r="AJ396" s="54">
        <v>1</v>
      </c>
      <c r="AK396" s="54">
        <v>0</v>
      </c>
      <c r="AL396" s="54">
        <v>0</v>
      </c>
      <c r="AM396" s="54">
        <v>0</v>
      </c>
      <c r="AN396" s="14" t="s">
        <v>166</v>
      </c>
    </row>
    <row r="397" spans="1:40" ht="126" x14ac:dyDescent="0.25">
      <c r="A397" s="12" t="s">
        <v>1665</v>
      </c>
      <c r="B397" s="12" t="s">
        <v>1666</v>
      </c>
      <c r="C397" s="12" t="s">
        <v>1132</v>
      </c>
      <c r="D397" s="13" t="s">
        <v>98</v>
      </c>
      <c r="E397" s="13" t="s">
        <v>99</v>
      </c>
      <c r="F397" s="13">
        <v>1822</v>
      </c>
      <c r="G397" s="13" t="s">
        <v>55</v>
      </c>
      <c r="H397" s="13" t="s">
        <v>615</v>
      </c>
      <c r="I397" s="12"/>
      <c r="J397" s="13">
        <v>638670746</v>
      </c>
      <c r="K397" s="13"/>
      <c r="L397" s="13" t="s">
        <v>616</v>
      </c>
      <c r="M397" s="14" t="s">
        <v>1116</v>
      </c>
      <c r="N397" s="13" t="s">
        <v>1107</v>
      </c>
      <c r="O397" s="12">
        <v>3</v>
      </c>
      <c r="P397" s="12" t="s">
        <v>174</v>
      </c>
      <c r="Q397" s="12" t="s">
        <v>868</v>
      </c>
      <c r="R397" s="12" t="s">
        <v>174</v>
      </c>
      <c r="S397" s="14" t="s">
        <v>166</v>
      </c>
      <c r="T397" s="12" t="s">
        <v>1110</v>
      </c>
      <c r="U397" s="14" t="s">
        <v>1078</v>
      </c>
      <c r="V397" s="14"/>
      <c r="W397" s="14"/>
      <c r="X397" s="12"/>
      <c r="Y397" s="12"/>
      <c r="Z397" s="14"/>
      <c r="AA397" s="12"/>
      <c r="AB397" s="15"/>
      <c r="AC397" s="16">
        <v>0</v>
      </c>
      <c r="AD397" s="16">
        <v>0</v>
      </c>
      <c r="AE397" s="16">
        <v>0</v>
      </c>
      <c r="AF397" s="16">
        <v>1</v>
      </c>
      <c r="AG397" s="16">
        <v>0</v>
      </c>
      <c r="AH397" s="14" t="s">
        <v>166</v>
      </c>
      <c r="AI397" s="54">
        <v>0</v>
      </c>
      <c r="AJ397" s="54">
        <v>0</v>
      </c>
      <c r="AK397" s="54">
        <v>0</v>
      </c>
      <c r="AL397" s="54">
        <v>1</v>
      </c>
      <c r="AM397" s="54">
        <v>0</v>
      </c>
      <c r="AN397" s="14" t="s">
        <v>166</v>
      </c>
    </row>
    <row r="398" spans="1:40" ht="126" x14ac:dyDescent="0.25">
      <c r="A398" s="12" t="s">
        <v>1665</v>
      </c>
      <c r="B398" s="12" t="s">
        <v>1666</v>
      </c>
      <c r="C398" s="12" t="s">
        <v>1132</v>
      </c>
      <c r="D398" s="13" t="s">
        <v>98</v>
      </c>
      <c r="E398" s="13" t="s">
        <v>99</v>
      </c>
      <c r="F398" s="13">
        <v>1704</v>
      </c>
      <c r="G398" s="13" t="s">
        <v>55</v>
      </c>
      <c r="H398" s="13" t="s">
        <v>606</v>
      </c>
      <c r="I398" s="12"/>
      <c r="J398" s="13">
        <v>679781738</v>
      </c>
      <c r="K398" s="13"/>
      <c r="L398" s="13" t="s">
        <v>607</v>
      </c>
      <c r="M398" s="14" t="s">
        <v>1073</v>
      </c>
      <c r="N398" s="13" t="s">
        <v>1068</v>
      </c>
      <c r="O398" s="12">
        <v>3</v>
      </c>
      <c r="P398" s="12" t="s">
        <v>174</v>
      </c>
      <c r="Q398" s="12" t="s">
        <v>868</v>
      </c>
      <c r="R398" s="12" t="s">
        <v>174</v>
      </c>
      <c r="S398" s="14" t="s">
        <v>166</v>
      </c>
      <c r="T398" s="12" t="s">
        <v>1110</v>
      </c>
      <c r="U398" s="14" t="s">
        <v>780</v>
      </c>
      <c r="V398" s="14"/>
      <c r="W398" s="14"/>
      <c r="X398" s="12"/>
      <c r="Y398" s="12"/>
      <c r="Z398" s="14"/>
      <c r="AA398" s="12"/>
      <c r="AB398" s="15"/>
      <c r="AC398" s="16">
        <v>0</v>
      </c>
      <c r="AD398" s="16">
        <v>1</v>
      </c>
      <c r="AE398" s="16">
        <v>0</v>
      </c>
      <c r="AF398" s="16">
        <v>0</v>
      </c>
      <c r="AG398" s="16">
        <v>0</v>
      </c>
      <c r="AH398" s="14" t="s">
        <v>166</v>
      </c>
      <c r="AI398" s="54">
        <v>0</v>
      </c>
      <c r="AJ398" s="54">
        <v>1</v>
      </c>
      <c r="AK398" s="54">
        <v>0</v>
      </c>
      <c r="AL398" s="54">
        <v>0</v>
      </c>
      <c r="AM398" s="54">
        <v>0</v>
      </c>
      <c r="AN398" s="14" t="s">
        <v>166</v>
      </c>
    </row>
    <row r="399" spans="1:40" ht="126" x14ac:dyDescent="0.25">
      <c r="A399" s="12" t="s">
        <v>1665</v>
      </c>
      <c r="B399" s="12" t="s">
        <v>1666</v>
      </c>
      <c r="C399" s="12" t="s">
        <v>1132</v>
      </c>
      <c r="D399" s="13" t="s">
        <v>98</v>
      </c>
      <c r="E399" s="13" t="s">
        <v>99</v>
      </c>
      <c r="F399" s="13">
        <v>5019</v>
      </c>
      <c r="G399" s="13" t="s">
        <v>55</v>
      </c>
      <c r="H399" s="13" t="s">
        <v>834</v>
      </c>
      <c r="I399" s="12"/>
      <c r="J399" s="13">
        <v>689559366</v>
      </c>
      <c r="K399" s="13"/>
      <c r="L399" s="13" t="s">
        <v>835</v>
      </c>
      <c r="M399" s="14" t="s">
        <v>1073</v>
      </c>
      <c r="N399" s="13" t="s">
        <v>1068</v>
      </c>
      <c r="O399" s="12">
        <v>3</v>
      </c>
      <c r="P399" s="12" t="s">
        <v>174</v>
      </c>
      <c r="Q399" s="12" t="s">
        <v>868</v>
      </c>
      <c r="R399" s="12" t="s">
        <v>174</v>
      </c>
      <c r="S399" s="14" t="s">
        <v>166</v>
      </c>
      <c r="T399" s="12" t="s">
        <v>1110</v>
      </c>
      <c r="U399" s="14" t="s">
        <v>780</v>
      </c>
      <c r="V399" s="14"/>
      <c r="W399" s="14"/>
      <c r="X399" s="12"/>
      <c r="Y399" s="12"/>
      <c r="Z399" s="14"/>
      <c r="AA399" s="12"/>
      <c r="AB399" s="15"/>
      <c r="AC399" s="16">
        <v>0</v>
      </c>
      <c r="AD399" s="16">
        <v>0</v>
      </c>
      <c r="AE399" s="16">
        <v>0</v>
      </c>
      <c r="AF399" s="16">
        <v>0</v>
      </c>
      <c r="AG399" s="16">
        <v>1</v>
      </c>
      <c r="AH399" s="14" t="s">
        <v>166</v>
      </c>
      <c r="AI399" s="54">
        <v>0</v>
      </c>
      <c r="AJ399" s="54">
        <v>0</v>
      </c>
      <c r="AK399" s="54">
        <v>0</v>
      </c>
      <c r="AL399" s="54">
        <v>0</v>
      </c>
      <c r="AM399" s="54">
        <v>1</v>
      </c>
      <c r="AN399" s="14" t="s">
        <v>166</v>
      </c>
    </row>
    <row r="400" spans="1:40" ht="126" x14ac:dyDescent="0.25">
      <c r="A400" s="12" t="s">
        <v>1667</v>
      </c>
      <c r="B400" s="12" t="s">
        <v>1668</v>
      </c>
      <c r="C400" s="12" t="s">
        <v>1132</v>
      </c>
      <c r="D400" s="13" t="s">
        <v>1112</v>
      </c>
      <c r="E400" s="13" t="s">
        <v>1113</v>
      </c>
      <c r="F400" s="13">
        <v>1821</v>
      </c>
      <c r="G400" s="13" t="s">
        <v>55</v>
      </c>
      <c r="H400" s="13" t="s">
        <v>619</v>
      </c>
      <c r="I400" s="12"/>
      <c r="J400" s="13">
        <v>646011922</v>
      </c>
      <c r="K400" s="13"/>
      <c r="L400" s="13" t="s">
        <v>620</v>
      </c>
      <c r="M400" s="14" t="s">
        <v>1073</v>
      </c>
      <c r="N400" s="13" t="s">
        <v>1068</v>
      </c>
      <c r="O400" s="12">
        <v>2</v>
      </c>
      <c r="P400" s="12" t="s">
        <v>174</v>
      </c>
      <c r="Q400" s="12" t="s">
        <v>868</v>
      </c>
      <c r="R400" s="12" t="s">
        <v>174</v>
      </c>
      <c r="S400" s="14" t="s">
        <v>166</v>
      </c>
      <c r="T400" s="12" t="s">
        <v>1110</v>
      </c>
      <c r="U400" s="14" t="s">
        <v>780</v>
      </c>
      <c r="V400" s="14"/>
      <c r="W400" s="14"/>
      <c r="X400" s="12"/>
      <c r="Y400" s="12"/>
      <c r="Z400" s="14"/>
      <c r="AA400" s="12"/>
      <c r="AB400" s="15"/>
      <c r="AC400" s="16">
        <v>0</v>
      </c>
      <c r="AD400" s="16">
        <v>0</v>
      </c>
      <c r="AE400" s="16">
        <v>0</v>
      </c>
      <c r="AF400" s="16">
        <v>1</v>
      </c>
      <c r="AG400" s="16">
        <v>0</v>
      </c>
      <c r="AH400" s="14" t="s">
        <v>166</v>
      </c>
      <c r="AI400" s="54">
        <v>1</v>
      </c>
      <c r="AJ400" s="54">
        <v>0</v>
      </c>
      <c r="AK400" s="54">
        <v>1</v>
      </c>
      <c r="AL400" s="54">
        <v>1</v>
      </c>
      <c r="AM400" s="54">
        <v>1</v>
      </c>
      <c r="AN400" s="14" t="s">
        <v>166</v>
      </c>
    </row>
    <row r="401" spans="1:40" ht="126" x14ac:dyDescent="0.25">
      <c r="A401" s="12" t="s">
        <v>1667</v>
      </c>
      <c r="B401" s="12" t="s">
        <v>1668</v>
      </c>
      <c r="C401" s="12" t="s">
        <v>1132</v>
      </c>
      <c r="D401" s="13" t="s">
        <v>1112</v>
      </c>
      <c r="E401" s="13" t="s">
        <v>1113</v>
      </c>
      <c r="F401" s="13">
        <v>1785</v>
      </c>
      <c r="G401" s="13" t="s">
        <v>55</v>
      </c>
      <c r="H401" s="13" t="s">
        <v>623</v>
      </c>
      <c r="I401" s="12"/>
      <c r="J401" s="13">
        <v>609571765</v>
      </c>
      <c r="K401" s="13"/>
      <c r="L401" s="13" t="s">
        <v>624</v>
      </c>
      <c r="M401" s="14" t="s">
        <v>1073</v>
      </c>
      <c r="N401" s="13" t="s">
        <v>1068</v>
      </c>
      <c r="O401" s="12">
        <v>2</v>
      </c>
      <c r="P401" s="12" t="s">
        <v>174</v>
      </c>
      <c r="Q401" s="12" t="s">
        <v>868</v>
      </c>
      <c r="R401" s="12" t="s">
        <v>174</v>
      </c>
      <c r="S401" s="14" t="s">
        <v>166</v>
      </c>
      <c r="T401" s="12" t="s">
        <v>1110</v>
      </c>
      <c r="U401" s="14" t="s">
        <v>780</v>
      </c>
      <c r="V401" s="14"/>
      <c r="W401" s="14"/>
      <c r="X401" s="12"/>
      <c r="Y401" s="12"/>
      <c r="Z401" s="14"/>
      <c r="AA401" s="12"/>
      <c r="AB401" s="15"/>
      <c r="AC401" s="16">
        <v>1</v>
      </c>
      <c r="AD401" s="16">
        <v>1</v>
      </c>
      <c r="AE401" s="16">
        <v>0</v>
      </c>
      <c r="AF401" s="16">
        <v>0</v>
      </c>
      <c r="AG401" s="16">
        <v>0</v>
      </c>
      <c r="AH401" s="14" t="s">
        <v>166</v>
      </c>
      <c r="AI401" s="54">
        <v>1</v>
      </c>
      <c r="AJ401" s="54">
        <v>1</v>
      </c>
      <c r="AK401" s="54">
        <v>0</v>
      </c>
      <c r="AL401" s="54">
        <v>0</v>
      </c>
      <c r="AM401" s="54">
        <v>0</v>
      </c>
      <c r="AN401" s="14" t="s">
        <v>166</v>
      </c>
    </row>
    <row r="402" spans="1:40" ht="126" x14ac:dyDescent="0.25">
      <c r="A402" s="12" t="s">
        <v>1667</v>
      </c>
      <c r="B402" s="12" t="s">
        <v>1668</v>
      </c>
      <c r="C402" s="12" t="s">
        <v>1132</v>
      </c>
      <c r="D402" s="13" t="s">
        <v>1112</v>
      </c>
      <c r="E402" s="13" t="s">
        <v>1113</v>
      </c>
      <c r="F402" s="13">
        <v>1729</v>
      </c>
      <c r="G402" s="13" t="s">
        <v>55</v>
      </c>
      <c r="H402" s="13" t="s">
        <v>625</v>
      </c>
      <c r="I402" s="12"/>
      <c r="J402" s="13">
        <v>618638478</v>
      </c>
      <c r="K402" s="13"/>
      <c r="L402" s="13" t="s">
        <v>626</v>
      </c>
      <c r="M402" s="14" t="s">
        <v>1073</v>
      </c>
      <c r="N402" s="13" t="s">
        <v>1068</v>
      </c>
      <c r="O402" s="12">
        <v>2</v>
      </c>
      <c r="P402" s="12" t="s">
        <v>174</v>
      </c>
      <c r="Q402" s="12" t="s">
        <v>868</v>
      </c>
      <c r="R402" s="12" t="s">
        <v>174</v>
      </c>
      <c r="S402" s="14" t="s">
        <v>166</v>
      </c>
      <c r="T402" s="12" t="s">
        <v>1110</v>
      </c>
      <c r="U402" s="14" t="s">
        <v>780</v>
      </c>
      <c r="V402" s="14"/>
      <c r="W402" s="14"/>
      <c r="X402" s="12"/>
      <c r="Y402" s="12"/>
      <c r="Z402" s="14"/>
      <c r="AA402" s="12"/>
      <c r="AB402" s="15"/>
      <c r="AC402" s="16">
        <v>0</v>
      </c>
      <c r="AD402" s="16">
        <v>0</v>
      </c>
      <c r="AE402" s="16">
        <v>1</v>
      </c>
      <c r="AF402" s="16">
        <v>0</v>
      </c>
      <c r="AG402" s="16">
        <v>0</v>
      </c>
      <c r="AH402" s="14" t="s">
        <v>166</v>
      </c>
      <c r="AI402" s="54">
        <v>0</v>
      </c>
      <c r="AJ402" s="54">
        <v>0</v>
      </c>
      <c r="AK402" s="54">
        <v>1</v>
      </c>
      <c r="AL402" s="54">
        <v>0</v>
      </c>
      <c r="AM402" s="54">
        <v>0</v>
      </c>
      <c r="AN402" s="14" t="s">
        <v>166</v>
      </c>
    </row>
    <row r="403" spans="1:40" ht="126" x14ac:dyDescent="0.25">
      <c r="A403" s="12" t="s">
        <v>1667</v>
      </c>
      <c r="B403" s="12" t="s">
        <v>1668</v>
      </c>
      <c r="C403" s="12" t="s">
        <v>1132</v>
      </c>
      <c r="D403" s="13" t="s">
        <v>1112</v>
      </c>
      <c r="E403" s="13" t="s">
        <v>1113</v>
      </c>
      <c r="F403" s="13">
        <v>1898</v>
      </c>
      <c r="G403" s="13" t="s">
        <v>55</v>
      </c>
      <c r="H403" s="13" t="s">
        <v>629</v>
      </c>
      <c r="I403" s="12"/>
      <c r="J403" s="13">
        <v>638129377</v>
      </c>
      <c r="K403" s="13"/>
      <c r="L403" s="13" t="s">
        <v>630</v>
      </c>
      <c r="M403" s="14" t="s">
        <v>1074</v>
      </c>
      <c r="N403" s="13" t="s">
        <v>1069</v>
      </c>
      <c r="O403" s="12">
        <v>6</v>
      </c>
      <c r="P403" s="12" t="s">
        <v>174</v>
      </c>
      <c r="Q403" s="12" t="s">
        <v>868</v>
      </c>
      <c r="R403" s="12" t="s">
        <v>174</v>
      </c>
      <c r="S403" s="14" t="s">
        <v>166</v>
      </c>
      <c r="T403" s="12" t="s">
        <v>1110</v>
      </c>
      <c r="U403" s="14" t="s">
        <v>781</v>
      </c>
      <c r="V403" s="14"/>
      <c r="W403" s="14"/>
      <c r="X403" s="12"/>
      <c r="Y403" s="12"/>
      <c r="Z403" s="14"/>
      <c r="AA403" s="12"/>
      <c r="AB403" s="15"/>
      <c r="AC403" s="16">
        <v>0</v>
      </c>
      <c r="AD403" s="16">
        <v>0</v>
      </c>
      <c r="AE403" s="16">
        <v>0</v>
      </c>
      <c r="AF403" s="16">
        <v>0</v>
      </c>
      <c r="AG403" s="16">
        <v>1</v>
      </c>
      <c r="AH403" s="14" t="s">
        <v>166</v>
      </c>
      <c r="AI403" s="54">
        <v>0</v>
      </c>
      <c r="AJ403" s="54">
        <v>0</v>
      </c>
      <c r="AK403" s="54">
        <v>0</v>
      </c>
      <c r="AL403" s="54">
        <v>0</v>
      </c>
      <c r="AM403" s="54">
        <v>1</v>
      </c>
      <c r="AN403" s="14" t="s">
        <v>166</v>
      </c>
    </row>
    <row r="404" spans="1:40" ht="126" x14ac:dyDescent="0.25">
      <c r="A404" s="12" t="s">
        <v>1667</v>
      </c>
      <c r="B404" s="12" t="s">
        <v>1668</v>
      </c>
      <c r="C404" s="12" t="s">
        <v>1132</v>
      </c>
      <c r="D404" s="13" t="s">
        <v>1112</v>
      </c>
      <c r="E404" s="13" t="s">
        <v>1113</v>
      </c>
      <c r="F404" s="13">
        <v>1700</v>
      </c>
      <c r="G404" s="13" t="s">
        <v>55</v>
      </c>
      <c r="H404" s="13" t="s">
        <v>647</v>
      </c>
      <c r="I404" s="12"/>
      <c r="J404" s="13">
        <v>691827164</v>
      </c>
      <c r="K404" s="13"/>
      <c r="L404" s="13" t="s">
        <v>648</v>
      </c>
      <c r="M404" s="14" t="s">
        <v>1073</v>
      </c>
      <c r="N404" s="13" t="s">
        <v>1068</v>
      </c>
      <c r="O404" s="12">
        <v>2</v>
      </c>
      <c r="P404" s="12" t="s">
        <v>174</v>
      </c>
      <c r="Q404" s="12" t="s">
        <v>868</v>
      </c>
      <c r="R404" s="12" t="s">
        <v>174</v>
      </c>
      <c r="S404" s="14" t="s">
        <v>166</v>
      </c>
      <c r="T404" s="12" t="s">
        <v>1110</v>
      </c>
      <c r="U404" s="14" t="s">
        <v>780</v>
      </c>
      <c r="V404" s="14"/>
      <c r="W404" s="14"/>
      <c r="X404" s="12"/>
      <c r="Y404" s="12"/>
      <c r="Z404" s="14"/>
      <c r="AA404" s="12"/>
      <c r="AB404" s="15"/>
      <c r="AC404" s="16">
        <v>1</v>
      </c>
      <c r="AD404" s="16">
        <v>0</v>
      </c>
      <c r="AE404" s="16">
        <v>0</v>
      </c>
      <c r="AF404" s="16">
        <v>0</v>
      </c>
      <c r="AG404" s="16">
        <v>0</v>
      </c>
      <c r="AH404" s="14" t="s">
        <v>166</v>
      </c>
      <c r="AI404" s="54">
        <v>1</v>
      </c>
      <c r="AJ404" s="54">
        <v>0</v>
      </c>
      <c r="AK404" s="54">
        <v>0</v>
      </c>
      <c r="AL404" s="54">
        <v>0</v>
      </c>
      <c r="AM404" s="54">
        <v>0</v>
      </c>
      <c r="AN404" s="14" t="s">
        <v>166</v>
      </c>
    </row>
    <row r="405" spans="1:40" ht="126" x14ac:dyDescent="0.25">
      <c r="A405" s="12" t="s">
        <v>1667</v>
      </c>
      <c r="B405" s="12" t="s">
        <v>1668</v>
      </c>
      <c r="C405" s="12" t="s">
        <v>1132</v>
      </c>
      <c r="D405" s="13" t="s">
        <v>1112</v>
      </c>
      <c r="E405" s="13" t="s">
        <v>1113</v>
      </c>
      <c r="F405" s="13">
        <v>2841</v>
      </c>
      <c r="G405" s="13" t="s">
        <v>55</v>
      </c>
      <c r="H405" s="13" t="s">
        <v>659</v>
      </c>
      <c r="I405" s="12"/>
      <c r="J405" s="13">
        <v>608526256</v>
      </c>
      <c r="K405" s="13"/>
      <c r="L405" s="13" t="s">
        <v>660</v>
      </c>
      <c r="M405" s="14" t="s">
        <v>1073</v>
      </c>
      <c r="N405" s="13" t="s">
        <v>1068</v>
      </c>
      <c r="O405" s="12">
        <v>2</v>
      </c>
      <c r="P405" s="12" t="s">
        <v>174</v>
      </c>
      <c r="Q405" s="12" t="s">
        <v>868</v>
      </c>
      <c r="R405" s="12" t="s">
        <v>174</v>
      </c>
      <c r="S405" s="14" t="s">
        <v>166</v>
      </c>
      <c r="T405" s="12" t="s">
        <v>1110</v>
      </c>
      <c r="U405" s="14" t="s">
        <v>780</v>
      </c>
      <c r="V405" s="14"/>
      <c r="W405" s="14"/>
      <c r="X405" s="12"/>
      <c r="Y405" s="12"/>
      <c r="Z405" s="14"/>
      <c r="AA405" s="12"/>
      <c r="AB405" s="15"/>
      <c r="AC405" s="16">
        <v>0</v>
      </c>
      <c r="AD405" s="16">
        <v>1</v>
      </c>
      <c r="AE405" s="16">
        <v>0</v>
      </c>
      <c r="AF405" s="16">
        <v>0</v>
      </c>
      <c r="AG405" s="16">
        <v>0</v>
      </c>
      <c r="AH405" s="14" t="s">
        <v>166</v>
      </c>
      <c r="AI405" s="54">
        <v>0</v>
      </c>
      <c r="AJ405" s="54">
        <v>1</v>
      </c>
      <c r="AK405" s="54">
        <v>0</v>
      </c>
      <c r="AL405" s="54">
        <v>0</v>
      </c>
      <c r="AM405" s="54">
        <v>0</v>
      </c>
      <c r="AN405" s="14" t="s">
        <v>166</v>
      </c>
    </row>
    <row r="406" spans="1:40" ht="126" x14ac:dyDescent="0.25">
      <c r="A406" s="12" t="s">
        <v>1667</v>
      </c>
      <c r="B406" s="12" t="s">
        <v>1668</v>
      </c>
      <c r="C406" s="12" t="s">
        <v>1132</v>
      </c>
      <c r="D406" s="13" t="s">
        <v>1112</v>
      </c>
      <c r="E406" s="13" t="s">
        <v>1113</v>
      </c>
      <c r="F406" s="13">
        <v>1795</v>
      </c>
      <c r="G406" s="13" t="s">
        <v>55</v>
      </c>
      <c r="H406" s="13" t="s">
        <v>663</v>
      </c>
      <c r="I406" s="12"/>
      <c r="J406" s="13">
        <v>608651951</v>
      </c>
      <c r="K406" s="13"/>
      <c r="L406" s="13" t="s">
        <v>664</v>
      </c>
      <c r="M406" s="14" t="s">
        <v>1073</v>
      </c>
      <c r="N406" s="13" t="s">
        <v>1068</v>
      </c>
      <c r="O406" s="12">
        <v>2</v>
      </c>
      <c r="P406" s="12" t="s">
        <v>174</v>
      </c>
      <c r="Q406" s="12" t="s">
        <v>868</v>
      </c>
      <c r="R406" s="12" t="s">
        <v>174</v>
      </c>
      <c r="S406" s="14" t="s">
        <v>166</v>
      </c>
      <c r="T406" s="12" t="s">
        <v>1110</v>
      </c>
      <c r="U406" s="14" t="s">
        <v>780</v>
      </c>
      <c r="V406" s="14"/>
      <c r="W406" s="14"/>
      <c r="X406" s="12"/>
      <c r="Y406" s="12"/>
      <c r="Z406" s="14"/>
      <c r="AA406" s="12"/>
      <c r="AB406" s="15"/>
      <c r="AC406" s="16">
        <v>0</v>
      </c>
      <c r="AD406" s="16">
        <v>1</v>
      </c>
      <c r="AE406" s="16">
        <v>0</v>
      </c>
      <c r="AF406" s="16">
        <v>0</v>
      </c>
      <c r="AG406" s="16">
        <v>0</v>
      </c>
      <c r="AH406" s="14" t="s">
        <v>166</v>
      </c>
      <c r="AI406" s="54">
        <v>0</v>
      </c>
      <c r="AJ406" s="54">
        <v>1</v>
      </c>
      <c r="AK406" s="54">
        <v>0</v>
      </c>
      <c r="AL406" s="54">
        <v>0</v>
      </c>
      <c r="AM406" s="54">
        <v>0</v>
      </c>
      <c r="AN406" s="14" t="s">
        <v>166</v>
      </c>
    </row>
    <row r="407" spans="1:40" ht="47.25" x14ac:dyDescent="0.25">
      <c r="A407" s="12" t="s">
        <v>1669</v>
      </c>
      <c r="B407" s="12" t="s">
        <v>1670</v>
      </c>
      <c r="C407" s="12" t="s">
        <v>1132</v>
      </c>
      <c r="D407" s="13" t="s">
        <v>100</v>
      </c>
      <c r="E407" s="13" t="s">
        <v>101</v>
      </c>
      <c r="F407" s="13">
        <v>1518</v>
      </c>
      <c r="G407" s="13" t="s">
        <v>40</v>
      </c>
      <c r="H407" s="13" t="s">
        <v>612</v>
      </c>
      <c r="I407" s="12"/>
      <c r="J407" s="13">
        <v>686540628</v>
      </c>
      <c r="K407" s="13"/>
      <c r="L407" s="13" t="s">
        <v>938</v>
      </c>
      <c r="M407" s="14" t="s">
        <v>1073</v>
      </c>
      <c r="N407" s="13" t="s">
        <v>1068</v>
      </c>
      <c r="O407" s="12">
        <v>3</v>
      </c>
      <c r="P407" s="12" t="s">
        <v>174</v>
      </c>
      <c r="Q407" s="12" t="s">
        <v>868</v>
      </c>
      <c r="R407" s="12" t="s">
        <v>174</v>
      </c>
      <c r="S407" s="14" t="s">
        <v>166</v>
      </c>
      <c r="T407" s="12" t="s">
        <v>174</v>
      </c>
      <c r="U407" s="14" t="s">
        <v>780</v>
      </c>
      <c r="V407" s="14"/>
      <c r="W407" s="14"/>
      <c r="X407" s="12"/>
      <c r="Y407" s="12"/>
      <c r="Z407" s="14"/>
      <c r="AA407" s="12"/>
      <c r="AB407" s="15"/>
      <c r="AC407" s="16">
        <v>0</v>
      </c>
      <c r="AD407" s="16">
        <v>0</v>
      </c>
      <c r="AE407" s="16">
        <v>0</v>
      </c>
      <c r="AF407" s="16">
        <v>0</v>
      </c>
      <c r="AG407" s="16">
        <v>1</v>
      </c>
      <c r="AH407" s="14" t="s">
        <v>166</v>
      </c>
      <c r="AI407" s="54">
        <v>0</v>
      </c>
      <c r="AJ407" s="54">
        <v>0</v>
      </c>
      <c r="AK407" s="54">
        <v>0</v>
      </c>
      <c r="AL407" s="54">
        <v>0</v>
      </c>
      <c r="AM407" s="54">
        <v>1</v>
      </c>
      <c r="AN407" s="14" t="s">
        <v>166</v>
      </c>
    </row>
    <row r="408" spans="1:40" ht="126" x14ac:dyDescent="0.25">
      <c r="A408" s="12" t="s">
        <v>1671</v>
      </c>
      <c r="B408" s="12" t="s">
        <v>1672</v>
      </c>
      <c r="C408" s="12" t="s">
        <v>1132</v>
      </c>
      <c r="D408" s="13" t="s">
        <v>98</v>
      </c>
      <c r="E408" s="13" t="s">
        <v>99</v>
      </c>
      <c r="F408" s="13">
        <v>1827</v>
      </c>
      <c r="G408" s="13" t="s">
        <v>41</v>
      </c>
      <c r="H408" s="13" t="s">
        <v>613</v>
      </c>
      <c r="I408" s="12"/>
      <c r="J408" s="13">
        <v>616472835</v>
      </c>
      <c r="K408" s="13"/>
      <c r="L408" s="13" t="s">
        <v>614</v>
      </c>
      <c r="M408" s="14" t="s">
        <v>1073</v>
      </c>
      <c r="N408" s="13" t="s">
        <v>1068</v>
      </c>
      <c r="O408" s="12">
        <v>3</v>
      </c>
      <c r="P408" s="12" t="s">
        <v>174</v>
      </c>
      <c r="Q408" s="12" t="s">
        <v>868</v>
      </c>
      <c r="R408" s="12" t="s">
        <v>174</v>
      </c>
      <c r="S408" s="14" t="s">
        <v>166</v>
      </c>
      <c r="T408" s="12" t="s">
        <v>1110</v>
      </c>
      <c r="U408" s="14" t="s">
        <v>780</v>
      </c>
      <c r="V408" s="14"/>
      <c r="W408" s="14"/>
      <c r="X408" s="12"/>
      <c r="Y408" s="12"/>
      <c r="Z408" s="14"/>
      <c r="AA408" s="12"/>
      <c r="AB408" s="15"/>
      <c r="AC408" s="16">
        <v>1</v>
      </c>
      <c r="AD408" s="16">
        <v>1</v>
      </c>
      <c r="AE408" s="16">
        <v>0</v>
      </c>
      <c r="AF408" s="16">
        <v>0</v>
      </c>
      <c r="AG408" s="16">
        <v>0</v>
      </c>
      <c r="AH408" s="14" t="s">
        <v>166</v>
      </c>
      <c r="AI408" s="54">
        <v>1</v>
      </c>
      <c r="AJ408" s="54">
        <v>1</v>
      </c>
      <c r="AK408" s="54">
        <v>0</v>
      </c>
      <c r="AL408" s="54">
        <v>0</v>
      </c>
      <c r="AM408" s="54">
        <v>0</v>
      </c>
      <c r="AN408" s="14" t="s">
        <v>166</v>
      </c>
    </row>
    <row r="409" spans="1:40" ht="126" x14ac:dyDescent="0.25">
      <c r="A409" s="12" t="s">
        <v>1673</v>
      </c>
      <c r="B409" s="12" t="s">
        <v>1674</v>
      </c>
      <c r="C409" s="12" t="s">
        <v>1132</v>
      </c>
      <c r="D409" s="13" t="s">
        <v>1112</v>
      </c>
      <c r="E409" s="13" t="s">
        <v>1113</v>
      </c>
      <c r="F409" s="13">
        <v>1783</v>
      </c>
      <c r="G409" s="13" t="s">
        <v>41</v>
      </c>
      <c r="H409" s="13" t="s">
        <v>621</v>
      </c>
      <c r="I409" s="12"/>
      <c r="J409" s="13">
        <v>608631357</v>
      </c>
      <c r="K409" s="13"/>
      <c r="L409" s="13" t="s">
        <v>622</v>
      </c>
      <c r="M409" s="14" t="s">
        <v>1116</v>
      </c>
      <c r="N409" s="13" t="s">
        <v>1107</v>
      </c>
      <c r="O409" s="12">
        <v>4</v>
      </c>
      <c r="P409" s="12" t="s">
        <v>174</v>
      </c>
      <c r="Q409" s="12" t="s">
        <v>868</v>
      </c>
      <c r="R409" s="12" t="s">
        <v>174</v>
      </c>
      <c r="S409" s="14" t="s">
        <v>166</v>
      </c>
      <c r="T409" s="12" t="s">
        <v>1110</v>
      </c>
      <c r="U409" s="14" t="s">
        <v>1078</v>
      </c>
      <c r="V409" s="14"/>
      <c r="W409" s="14"/>
      <c r="X409" s="12"/>
      <c r="Y409" s="12"/>
      <c r="Z409" s="14"/>
      <c r="AA409" s="12"/>
      <c r="AB409" s="15"/>
      <c r="AC409" s="16">
        <v>0</v>
      </c>
      <c r="AD409" s="16">
        <v>0</v>
      </c>
      <c r="AE409" s="16">
        <v>0</v>
      </c>
      <c r="AF409" s="16">
        <v>1</v>
      </c>
      <c r="AG409" s="16">
        <v>0</v>
      </c>
      <c r="AH409" s="14" t="s">
        <v>166</v>
      </c>
      <c r="AI409" s="54">
        <v>0</v>
      </c>
      <c r="AJ409" s="54">
        <v>0</v>
      </c>
      <c r="AK409" s="54">
        <v>0</v>
      </c>
      <c r="AL409" s="54">
        <v>1</v>
      </c>
      <c r="AM409" s="54">
        <v>0</v>
      </c>
      <c r="AN409" s="14" t="s">
        <v>166</v>
      </c>
    </row>
    <row r="410" spans="1:40" ht="126" x14ac:dyDescent="0.25">
      <c r="A410" s="12" t="s">
        <v>1673</v>
      </c>
      <c r="B410" s="12" t="s">
        <v>1674</v>
      </c>
      <c r="C410" s="12" t="s">
        <v>1132</v>
      </c>
      <c r="D410" s="13" t="s">
        <v>1112</v>
      </c>
      <c r="E410" s="13" t="s">
        <v>1113</v>
      </c>
      <c r="F410" s="13">
        <v>1786</v>
      </c>
      <c r="G410" s="13" t="s">
        <v>41</v>
      </c>
      <c r="H410" s="13" t="s">
        <v>653</v>
      </c>
      <c r="I410" s="12"/>
      <c r="J410" s="13">
        <v>608982424</v>
      </c>
      <c r="K410" s="13"/>
      <c r="L410" s="13" t="s">
        <v>654</v>
      </c>
      <c r="M410" s="14" t="s">
        <v>1073</v>
      </c>
      <c r="N410" s="13" t="s">
        <v>1068</v>
      </c>
      <c r="O410" s="12">
        <v>2</v>
      </c>
      <c r="P410" s="12" t="s">
        <v>174</v>
      </c>
      <c r="Q410" s="12" t="s">
        <v>868</v>
      </c>
      <c r="R410" s="12" t="s">
        <v>174</v>
      </c>
      <c r="S410" s="14" t="s">
        <v>166</v>
      </c>
      <c r="T410" s="12" t="s">
        <v>1110</v>
      </c>
      <c r="U410" s="14" t="s">
        <v>780</v>
      </c>
      <c r="V410" s="14"/>
      <c r="W410" s="14"/>
      <c r="X410" s="12"/>
      <c r="Y410" s="12"/>
      <c r="Z410" s="14"/>
      <c r="AA410" s="12"/>
      <c r="AB410" s="15"/>
      <c r="AC410" s="16">
        <v>0</v>
      </c>
      <c r="AD410" s="16">
        <v>1</v>
      </c>
      <c r="AE410" s="16">
        <v>0</v>
      </c>
      <c r="AF410" s="16">
        <v>0</v>
      </c>
      <c r="AG410" s="16">
        <v>0</v>
      </c>
      <c r="AH410" s="14" t="s">
        <v>166</v>
      </c>
      <c r="AI410" s="54">
        <v>0</v>
      </c>
      <c r="AJ410" s="54">
        <v>1</v>
      </c>
      <c r="AK410" s="54">
        <v>0</v>
      </c>
      <c r="AL410" s="54">
        <v>0</v>
      </c>
      <c r="AM410" s="54">
        <v>0</v>
      </c>
      <c r="AN410" s="14" t="s">
        <v>166</v>
      </c>
    </row>
    <row r="411" spans="1:40" ht="126" x14ac:dyDescent="0.25">
      <c r="A411" s="12" t="s">
        <v>1673</v>
      </c>
      <c r="B411" s="12" t="s">
        <v>1674</v>
      </c>
      <c r="C411" s="12" t="s">
        <v>1132</v>
      </c>
      <c r="D411" s="13" t="s">
        <v>1112</v>
      </c>
      <c r="E411" s="13" t="s">
        <v>1113</v>
      </c>
      <c r="F411" s="13">
        <v>1748</v>
      </c>
      <c r="G411" s="13" t="s">
        <v>41</v>
      </c>
      <c r="H411" s="13" t="s">
        <v>649</v>
      </c>
      <c r="I411" s="12"/>
      <c r="J411" s="13">
        <v>606615124</v>
      </c>
      <c r="K411" s="13"/>
      <c r="L411" s="13" t="s">
        <v>650</v>
      </c>
      <c r="M411" s="14" t="s">
        <v>1073</v>
      </c>
      <c r="N411" s="13" t="s">
        <v>1068</v>
      </c>
      <c r="O411" s="12">
        <v>2</v>
      </c>
      <c r="P411" s="12" t="s">
        <v>174</v>
      </c>
      <c r="Q411" s="12" t="s">
        <v>868</v>
      </c>
      <c r="R411" s="12" t="s">
        <v>174</v>
      </c>
      <c r="S411" s="14" t="s">
        <v>166</v>
      </c>
      <c r="T411" s="12" t="s">
        <v>1110</v>
      </c>
      <c r="U411" s="14" t="s">
        <v>780</v>
      </c>
      <c r="V411" s="14"/>
      <c r="W411" s="14"/>
      <c r="X411" s="12"/>
      <c r="Y411" s="12"/>
      <c r="Z411" s="14"/>
      <c r="AA411" s="12"/>
      <c r="AB411" s="15"/>
      <c r="AC411" s="16">
        <v>0</v>
      </c>
      <c r="AD411" s="16">
        <v>1</v>
      </c>
      <c r="AE411" s="16">
        <v>0</v>
      </c>
      <c r="AF411" s="16">
        <v>0</v>
      </c>
      <c r="AG411" s="16">
        <v>0</v>
      </c>
      <c r="AH411" s="14" t="s">
        <v>166</v>
      </c>
      <c r="AI411" s="54">
        <v>0</v>
      </c>
      <c r="AJ411" s="54">
        <v>1</v>
      </c>
      <c r="AK411" s="54">
        <v>0</v>
      </c>
      <c r="AL411" s="54">
        <v>0</v>
      </c>
      <c r="AM411" s="54">
        <v>0</v>
      </c>
      <c r="AN411" s="14" t="s">
        <v>166</v>
      </c>
    </row>
    <row r="412" spans="1:40" ht="126" x14ac:dyDescent="0.25">
      <c r="A412" s="12" t="s">
        <v>1673</v>
      </c>
      <c r="B412" s="12" t="s">
        <v>1674</v>
      </c>
      <c r="C412" s="12" t="s">
        <v>1132</v>
      </c>
      <c r="D412" s="13" t="s">
        <v>1112</v>
      </c>
      <c r="E412" s="13" t="s">
        <v>1113</v>
      </c>
      <c r="F412" s="13">
        <v>1809</v>
      </c>
      <c r="G412" s="13" t="s">
        <v>41</v>
      </c>
      <c r="H412" s="13" t="s">
        <v>655</v>
      </c>
      <c r="I412" s="12"/>
      <c r="J412" s="13">
        <v>608554471</v>
      </c>
      <c r="K412" s="13"/>
      <c r="L412" s="13" t="s">
        <v>656</v>
      </c>
      <c r="M412" s="14" t="s">
        <v>1073</v>
      </c>
      <c r="N412" s="13" t="s">
        <v>1068</v>
      </c>
      <c r="O412" s="12">
        <v>2</v>
      </c>
      <c r="P412" s="12" t="s">
        <v>174</v>
      </c>
      <c r="Q412" s="12" t="s">
        <v>868</v>
      </c>
      <c r="R412" s="12" t="s">
        <v>174</v>
      </c>
      <c r="S412" s="14" t="s">
        <v>166</v>
      </c>
      <c r="T412" s="12" t="s">
        <v>1110</v>
      </c>
      <c r="U412" s="14" t="s">
        <v>780</v>
      </c>
      <c r="V412" s="14"/>
      <c r="W412" s="14"/>
      <c r="X412" s="12"/>
      <c r="Y412" s="12"/>
      <c r="Z412" s="14"/>
      <c r="AA412" s="12"/>
      <c r="AB412" s="15"/>
      <c r="AC412" s="16">
        <v>0</v>
      </c>
      <c r="AD412" s="16">
        <v>0</v>
      </c>
      <c r="AE412" s="16">
        <v>1</v>
      </c>
      <c r="AF412" s="16">
        <v>0</v>
      </c>
      <c r="AG412" s="16">
        <v>0</v>
      </c>
      <c r="AH412" s="14" t="s">
        <v>166</v>
      </c>
      <c r="AI412" s="54">
        <v>0</v>
      </c>
      <c r="AJ412" s="54">
        <v>0</v>
      </c>
      <c r="AK412" s="54">
        <v>1</v>
      </c>
      <c r="AL412" s="54">
        <v>0</v>
      </c>
      <c r="AM412" s="54">
        <v>0</v>
      </c>
      <c r="AN412" s="14" t="s">
        <v>166</v>
      </c>
    </row>
    <row r="413" spans="1:40" ht="126" x14ac:dyDescent="0.25">
      <c r="A413" s="12" t="s">
        <v>1673</v>
      </c>
      <c r="B413" s="12" t="s">
        <v>1674</v>
      </c>
      <c r="C413" s="12" t="s">
        <v>1132</v>
      </c>
      <c r="D413" s="13" t="s">
        <v>1112</v>
      </c>
      <c r="E413" s="13" t="s">
        <v>1113</v>
      </c>
      <c r="F413" s="13">
        <v>1899</v>
      </c>
      <c r="G413" s="13" t="s">
        <v>41</v>
      </c>
      <c r="H413" s="13" t="s">
        <v>661</v>
      </c>
      <c r="I413" s="12"/>
      <c r="J413" s="13">
        <v>618514607</v>
      </c>
      <c r="K413" s="13"/>
      <c r="L413" s="13" t="s">
        <v>662</v>
      </c>
      <c r="M413" s="14" t="s">
        <v>1073</v>
      </c>
      <c r="N413" s="13" t="s">
        <v>1068</v>
      </c>
      <c r="O413" s="12">
        <v>2</v>
      </c>
      <c r="P413" s="12" t="s">
        <v>174</v>
      </c>
      <c r="Q413" s="12" t="s">
        <v>868</v>
      </c>
      <c r="R413" s="12" t="s">
        <v>174</v>
      </c>
      <c r="S413" s="14" t="s">
        <v>166</v>
      </c>
      <c r="T413" s="12" t="s">
        <v>1110</v>
      </c>
      <c r="U413" s="14" t="s">
        <v>780</v>
      </c>
      <c r="V413" s="14"/>
      <c r="W413" s="14"/>
      <c r="X413" s="12"/>
      <c r="Y413" s="12"/>
      <c r="Z413" s="14"/>
      <c r="AA413" s="12"/>
      <c r="AB413" s="15"/>
      <c r="AC413" s="16">
        <v>0</v>
      </c>
      <c r="AD413" s="16">
        <v>1</v>
      </c>
      <c r="AE413" s="16">
        <v>0</v>
      </c>
      <c r="AF413" s="16">
        <v>0</v>
      </c>
      <c r="AG413" s="16">
        <v>0</v>
      </c>
      <c r="AH413" s="14" t="s">
        <v>166</v>
      </c>
      <c r="AI413" s="54">
        <v>0</v>
      </c>
      <c r="AJ413" s="54">
        <v>1</v>
      </c>
      <c r="AK413" s="54">
        <v>0</v>
      </c>
      <c r="AL413" s="54">
        <v>0</v>
      </c>
      <c r="AM413" s="54">
        <v>0</v>
      </c>
      <c r="AN413" s="14" t="s">
        <v>166</v>
      </c>
    </row>
    <row r="414" spans="1:40" ht="126" x14ac:dyDescent="0.25">
      <c r="A414" s="12" t="s">
        <v>1673</v>
      </c>
      <c r="B414" s="12" t="s">
        <v>1674</v>
      </c>
      <c r="C414" s="12" t="s">
        <v>1132</v>
      </c>
      <c r="D414" s="13" t="s">
        <v>1112</v>
      </c>
      <c r="E414" s="13" t="s">
        <v>1113</v>
      </c>
      <c r="F414" s="13">
        <v>969</v>
      </c>
      <c r="G414" s="13" t="s">
        <v>41</v>
      </c>
      <c r="H414" s="13" t="s">
        <v>657</v>
      </c>
      <c r="I414" s="12"/>
      <c r="J414" s="13">
        <v>690946616</v>
      </c>
      <c r="K414" s="13"/>
      <c r="L414" s="13" t="s">
        <v>658</v>
      </c>
      <c r="M414" s="14" t="s">
        <v>1073</v>
      </c>
      <c r="N414" s="13" t="s">
        <v>1068</v>
      </c>
      <c r="O414" s="12">
        <v>2</v>
      </c>
      <c r="P414" s="12" t="s">
        <v>174</v>
      </c>
      <c r="Q414" s="12" t="s">
        <v>868</v>
      </c>
      <c r="R414" s="12" t="s">
        <v>174</v>
      </c>
      <c r="S414" s="14" t="s">
        <v>166</v>
      </c>
      <c r="T414" s="12" t="s">
        <v>1110</v>
      </c>
      <c r="U414" s="14" t="s">
        <v>780</v>
      </c>
      <c r="V414" s="14"/>
      <c r="W414" s="14"/>
      <c r="X414" s="12"/>
      <c r="Y414" s="12"/>
      <c r="Z414" s="14"/>
      <c r="AA414" s="12"/>
      <c r="AB414" s="15"/>
      <c r="AC414" s="16">
        <v>0</v>
      </c>
      <c r="AD414" s="16">
        <v>0</v>
      </c>
      <c r="AE414" s="16">
        <v>1</v>
      </c>
      <c r="AF414" s="16">
        <v>0</v>
      </c>
      <c r="AG414" s="16">
        <v>0</v>
      </c>
      <c r="AH414" s="14" t="s">
        <v>166</v>
      </c>
      <c r="AI414" s="54">
        <v>0</v>
      </c>
      <c r="AJ414" s="54">
        <v>0</v>
      </c>
      <c r="AK414" s="54">
        <v>1</v>
      </c>
      <c r="AL414" s="54">
        <v>0</v>
      </c>
      <c r="AM414" s="54">
        <v>0</v>
      </c>
      <c r="AN414" s="14" t="s">
        <v>166</v>
      </c>
    </row>
    <row r="415" spans="1:40" ht="126" x14ac:dyDescent="0.25">
      <c r="A415" s="12" t="s">
        <v>1675</v>
      </c>
      <c r="B415" s="12" t="s">
        <v>1676</v>
      </c>
      <c r="C415" s="12" t="s">
        <v>1132</v>
      </c>
      <c r="D415" s="13" t="s">
        <v>98</v>
      </c>
      <c r="E415" s="13" t="s">
        <v>99</v>
      </c>
      <c r="F415" s="13">
        <v>1745</v>
      </c>
      <c r="G415" s="13" t="s">
        <v>45</v>
      </c>
      <c r="H415" s="13" t="s">
        <v>608</v>
      </c>
      <c r="I415" s="12"/>
      <c r="J415" s="13">
        <v>682832704</v>
      </c>
      <c r="K415" s="13"/>
      <c r="L415" s="13" t="s">
        <v>609</v>
      </c>
      <c r="M415" s="14" t="s">
        <v>1074</v>
      </c>
      <c r="N415" s="13" t="s">
        <v>1069</v>
      </c>
      <c r="O415" s="12">
        <v>3</v>
      </c>
      <c r="P415" s="12" t="s">
        <v>174</v>
      </c>
      <c r="Q415" s="12" t="s">
        <v>868</v>
      </c>
      <c r="R415" s="12" t="s">
        <v>174</v>
      </c>
      <c r="S415" s="14" t="s">
        <v>166</v>
      </c>
      <c r="T415" s="12" t="s">
        <v>1110</v>
      </c>
      <c r="U415" s="14" t="s">
        <v>781</v>
      </c>
      <c r="V415" s="14"/>
      <c r="W415" s="14"/>
      <c r="X415" s="12"/>
      <c r="Y415" s="12"/>
      <c r="Z415" s="14"/>
      <c r="AA415" s="12"/>
      <c r="AB415" s="15"/>
      <c r="AC415" s="16">
        <v>0</v>
      </c>
      <c r="AD415" s="16">
        <v>0</v>
      </c>
      <c r="AE415" s="16">
        <v>0</v>
      </c>
      <c r="AF415" s="16">
        <v>1</v>
      </c>
      <c r="AG415" s="16">
        <v>0</v>
      </c>
      <c r="AH415" s="14" t="s">
        <v>166</v>
      </c>
      <c r="AI415" s="54">
        <v>0</v>
      </c>
      <c r="AJ415" s="54">
        <v>0</v>
      </c>
      <c r="AK415" s="54">
        <v>0</v>
      </c>
      <c r="AL415" s="54">
        <v>1</v>
      </c>
      <c r="AM415" s="54">
        <v>0</v>
      </c>
      <c r="AN415" s="14" t="s">
        <v>166</v>
      </c>
    </row>
    <row r="416" spans="1:40" ht="126" x14ac:dyDescent="0.25">
      <c r="A416" s="12" t="s">
        <v>1675</v>
      </c>
      <c r="B416" s="12" t="s">
        <v>1676</v>
      </c>
      <c r="C416" s="12" t="s">
        <v>1132</v>
      </c>
      <c r="D416" s="13" t="s">
        <v>98</v>
      </c>
      <c r="E416" s="13" t="s">
        <v>99</v>
      </c>
      <c r="F416" s="13">
        <v>1488</v>
      </c>
      <c r="G416" s="13" t="s">
        <v>45</v>
      </c>
      <c r="H416" s="13" t="s">
        <v>610</v>
      </c>
      <c r="I416" s="12"/>
      <c r="J416" s="13">
        <v>669359431</v>
      </c>
      <c r="K416" s="13"/>
      <c r="L416" s="13" t="s">
        <v>611</v>
      </c>
      <c r="M416" s="14" t="s">
        <v>1073</v>
      </c>
      <c r="N416" s="13" t="s">
        <v>1068</v>
      </c>
      <c r="O416" s="12">
        <v>3</v>
      </c>
      <c r="P416" s="12" t="s">
        <v>174</v>
      </c>
      <c r="Q416" s="12" t="s">
        <v>868</v>
      </c>
      <c r="R416" s="12" t="s">
        <v>174</v>
      </c>
      <c r="S416" s="14" t="s">
        <v>166</v>
      </c>
      <c r="T416" s="12" t="s">
        <v>174</v>
      </c>
      <c r="U416" s="14" t="s">
        <v>780</v>
      </c>
      <c r="V416" s="14"/>
      <c r="W416" s="14"/>
      <c r="X416" s="12"/>
      <c r="Y416" s="12"/>
      <c r="Z416" s="14"/>
      <c r="AA416" s="12"/>
      <c r="AB416" s="15"/>
      <c r="AC416" s="16">
        <v>0</v>
      </c>
      <c r="AD416" s="16">
        <v>0</v>
      </c>
      <c r="AE416" s="16">
        <v>1</v>
      </c>
      <c r="AF416" s="16">
        <v>0</v>
      </c>
      <c r="AG416" s="16">
        <v>0</v>
      </c>
      <c r="AH416" s="14" t="s">
        <v>166</v>
      </c>
      <c r="AI416" s="54">
        <v>0</v>
      </c>
      <c r="AJ416" s="54">
        <v>0</v>
      </c>
      <c r="AK416" s="54">
        <v>1</v>
      </c>
      <c r="AL416" s="54">
        <v>0</v>
      </c>
      <c r="AM416" s="54">
        <v>0</v>
      </c>
      <c r="AN416" s="14" t="s">
        <v>166</v>
      </c>
    </row>
    <row r="417" spans="1:40" ht="126" x14ac:dyDescent="0.25">
      <c r="A417" s="12" t="s">
        <v>1677</v>
      </c>
      <c r="B417" s="12" t="s">
        <v>1678</v>
      </c>
      <c r="C417" s="12" t="s">
        <v>1132</v>
      </c>
      <c r="D417" s="13" t="s">
        <v>1112</v>
      </c>
      <c r="E417" s="13" t="s">
        <v>1113</v>
      </c>
      <c r="F417" s="13">
        <v>1105</v>
      </c>
      <c r="G417" s="13" t="s">
        <v>45</v>
      </c>
      <c r="H417" s="13" t="s">
        <v>627</v>
      </c>
      <c r="I417" s="12"/>
      <c r="J417" s="13">
        <v>620116015</v>
      </c>
      <c r="K417" s="13"/>
      <c r="L417" s="13" t="s">
        <v>628</v>
      </c>
      <c r="M417" s="14" t="s">
        <v>1073</v>
      </c>
      <c r="N417" s="13" t="s">
        <v>1068</v>
      </c>
      <c r="O417" s="12">
        <v>2</v>
      </c>
      <c r="P417" s="12" t="s">
        <v>174</v>
      </c>
      <c r="Q417" s="12" t="s">
        <v>868</v>
      </c>
      <c r="R417" s="12" t="s">
        <v>174</v>
      </c>
      <c r="S417" s="14" t="s">
        <v>166</v>
      </c>
      <c r="T417" s="12" t="s">
        <v>1110</v>
      </c>
      <c r="U417" s="14" t="s">
        <v>780</v>
      </c>
      <c r="V417" s="14"/>
      <c r="W417" s="14"/>
      <c r="X417" s="12"/>
      <c r="Y417" s="12"/>
      <c r="Z417" s="14"/>
      <c r="AA417" s="12"/>
      <c r="AB417" s="15"/>
      <c r="AC417" s="16">
        <v>0</v>
      </c>
      <c r="AD417" s="16">
        <v>0</v>
      </c>
      <c r="AE417" s="16">
        <v>1</v>
      </c>
      <c r="AF417" s="16">
        <v>0</v>
      </c>
      <c r="AG417" s="16">
        <v>0</v>
      </c>
      <c r="AH417" s="14" t="s">
        <v>166</v>
      </c>
      <c r="AI417" s="54">
        <v>0</v>
      </c>
      <c r="AJ417" s="54">
        <v>0</v>
      </c>
      <c r="AK417" s="54">
        <v>1</v>
      </c>
      <c r="AL417" s="54">
        <v>0</v>
      </c>
      <c r="AM417" s="54">
        <v>0</v>
      </c>
      <c r="AN417" s="14" t="s">
        <v>166</v>
      </c>
    </row>
    <row r="418" spans="1:40" ht="126" x14ac:dyDescent="0.25">
      <c r="A418" s="12" t="s">
        <v>1677</v>
      </c>
      <c r="B418" s="12" t="s">
        <v>1678</v>
      </c>
      <c r="C418" s="12" t="s">
        <v>1132</v>
      </c>
      <c r="D418" s="13" t="s">
        <v>1112</v>
      </c>
      <c r="E418" s="13" t="s">
        <v>1113</v>
      </c>
      <c r="F418" s="13">
        <v>3853</v>
      </c>
      <c r="G418" s="13" t="s">
        <v>45</v>
      </c>
      <c r="H418" s="13" t="s">
        <v>667</v>
      </c>
      <c r="I418" s="12"/>
      <c r="J418" s="13">
        <v>669659440</v>
      </c>
      <c r="K418" s="13"/>
      <c r="L418" s="13" t="s">
        <v>668</v>
      </c>
      <c r="M418" s="14" t="s">
        <v>1074</v>
      </c>
      <c r="N418" s="13" t="s">
        <v>1069</v>
      </c>
      <c r="O418" s="12">
        <v>6</v>
      </c>
      <c r="P418" s="12" t="s">
        <v>174</v>
      </c>
      <c r="Q418" s="12" t="s">
        <v>868</v>
      </c>
      <c r="R418" s="12" t="s">
        <v>174</v>
      </c>
      <c r="S418" s="14" t="s">
        <v>166</v>
      </c>
      <c r="T418" s="12" t="s">
        <v>1110</v>
      </c>
      <c r="U418" s="14" t="s">
        <v>781</v>
      </c>
      <c r="V418" s="14"/>
      <c r="W418" s="14"/>
      <c r="X418" s="12"/>
      <c r="Y418" s="12"/>
      <c r="Z418" s="14"/>
      <c r="AA418" s="12"/>
      <c r="AB418" s="15"/>
      <c r="AC418" s="16">
        <v>0</v>
      </c>
      <c r="AD418" s="16">
        <v>0</v>
      </c>
      <c r="AE418" s="16">
        <v>0</v>
      </c>
      <c r="AF418" s="16">
        <v>0</v>
      </c>
      <c r="AG418" s="16">
        <v>1</v>
      </c>
      <c r="AH418" s="14" t="s">
        <v>166</v>
      </c>
      <c r="AI418" s="54">
        <v>0</v>
      </c>
      <c r="AJ418" s="54">
        <v>0</v>
      </c>
      <c r="AK418" s="54">
        <v>1</v>
      </c>
      <c r="AL418" s="54">
        <v>0</v>
      </c>
      <c r="AM418" s="54">
        <v>1</v>
      </c>
      <c r="AN418" s="14" t="s">
        <v>166</v>
      </c>
    </row>
    <row r="419" spans="1:40" ht="126" x14ac:dyDescent="0.25">
      <c r="A419" s="12" t="s">
        <v>1677</v>
      </c>
      <c r="B419" s="12" t="s">
        <v>1678</v>
      </c>
      <c r="C419" s="12" t="s">
        <v>1132</v>
      </c>
      <c r="D419" s="13" t="s">
        <v>1112</v>
      </c>
      <c r="E419" s="13" t="s">
        <v>1113</v>
      </c>
      <c r="F419" s="13">
        <v>1746</v>
      </c>
      <c r="G419" s="13" t="s">
        <v>45</v>
      </c>
      <c r="H419" s="13" t="s">
        <v>665</v>
      </c>
      <c r="I419" s="12"/>
      <c r="J419" s="13">
        <v>618201540</v>
      </c>
      <c r="K419" s="13"/>
      <c r="L419" s="13" t="s">
        <v>666</v>
      </c>
      <c r="M419" s="14" t="s">
        <v>1073</v>
      </c>
      <c r="N419" s="13" t="s">
        <v>1068</v>
      </c>
      <c r="O419" s="12">
        <v>2</v>
      </c>
      <c r="P419" s="12" t="s">
        <v>174</v>
      </c>
      <c r="Q419" s="12" t="s">
        <v>868</v>
      </c>
      <c r="R419" s="12" t="s">
        <v>174</v>
      </c>
      <c r="S419" s="14" t="s">
        <v>166</v>
      </c>
      <c r="T419" s="12" t="s">
        <v>1110</v>
      </c>
      <c r="U419" s="14" t="s">
        <v>780</v>
      </c>
      <c r="V419" s="14"/>
      <c r="W419" s="14"/>
      <c r="X419" s="12"/>
      <c r="Y419" s="12"/>
      <c r="Z419" s="14"/>
      <c r="AA419" s="12"/>
      <c r="AB419" s="15"/>
      <c r="AC419" s="16">
        <v>0</v>
      </c>
      <c r="AD419" s="16">
        <v>0</v>
      </c>
      <c r="AE419" s="16">
        <v>1</v>
      </c>
      <c r="AF419" s="16">
        <v>0</v>
      </c>
      <c r="AG419" s="16">
        <v>0</v>
      </c>
      <c r="AH419" s="14" t="s">
        <v>166</v>
      </c>
      <c r="AI419" s="54">
        <v>0</v>
      </c>
      <c r="AJ419" s="54">
        <v>0</v>
      </c>
      <c r="AK419" s="54">
        <v>1</v>
      </c>
      <c r="AL419" s="54">
        <v>0</v>
      </c>
      <c r="AM419" s="54">
        <v>0</v>
      </c>
      <c r="AN419" s="14" t="s">
        <v>166</v>
      </c>
    </row>
    <row r="420" spans="1:40" ht="47.25" x14ac:dyDescent="0.25">
      <c r="A420" s="12" t="s">
        <v>1679</v>
      </c>
      <c r="B420" s="12" t="s">
        <v>1680</v>
      </c>
      <c r="C420" s="12" t="s">
        <v>1132</v>
      </c>
      <c r="D420" s="13" t="s">
        <v>100</v>
      </c>
      <c r="E420" s="13" t="s">
        <v>101</v>
      </c>
      <c r="F420" s="13">
        <v>3524</v>
      </c>
      <c r="G420" s="13" t="s">
        <v>35</v>
      </c>
      <c r="H420" s="13" t="s">
        <v>617</v>
      </c>
      <c r="I420" s="12"/>
      <c r="J420" s="13">
        <v>682568261</v>
      </c>
      <c r="K420" s="13"/>
      <c r="L420" s="13" t="s">
        <v>618</v>
      </c>
      <c r="M420" s="14" t="s">
        <v>1073</v>
      </c>
      <c r="N420" s="13" t="s">
        <v>1068</v>
      </c>
      <c r="O420" s="12">
        <v>3</v>
      </c>
      <c r="P420" s="12" t="s">
        <v>174</v>
      </c>
      <c r="Q420" s="12" t="s">
        <v>868</v>
      </c>
      <c r="R420" s="12" t="s">
        <v>174</v>
      </c>
      <c r="S420" s="14" t="s">
        <v>166</v>
      </c>
      <c r="T420" s="12" t="s">
        <v>1110</v>
      </c>
      <c r="U420" s="14" t="s">
        <v>780</v>
      </c>
      <c r="V420" s="14"/>
      <c r="W420" s="14"/>
      <c r="X420" s="12"/>
      <c r="Y420" s="12"/>
      <c r="Z420" s="14"/>
      <c r="AA420" s="12"/>
      <c r="AB420" s="15"/>
      <c r="AC420" s="16">
        <v>0</v>
      </c>
      <c r="AD420" s="16">
        <v>0</v>
      </c>
      <c r="AE420" s="16">
        <v>0</v>
      </c>
      <c r="AF420" s="16">
        <v>0</v>
      </c>
      <c r="AG420" s="16">
        <v>1</v>
      </c>
      <c r="AH420" s="14" t="s">
        <v>166</v>
      </c>
      <c r="AI420" s="54">
        <v>0</v>
      </c>
      <c r="AJ420" s="54">
        <v>0</v>
      </c>
      <c r="AK420" s="54">
        <v>0</v>
      </c>
      <c r="AL420" s="54">
        <v>0</v>
      </c>
      <c r="AM420" s="54">
        <v>1</v>
      </c>
      <c r="AN420" s="14" t="s">
        <v>166</v>
      </c>
    </row>
    <row r="421" spans="1:40" ht="47.25" x14ac:dyDescent="0.25">
      <c r="A421" s="12" t="s">
        <v>1681</v>
      </c>
      <c r="B421" s="12" t="s">
        <v>1682</v>
      </c>
      <c r="C421" s="12" t="s">
        <v>1129</v>
      </c>
      <c r="D421" s="13" t="s">
        <v>26</v>
      </c>
      <c r="E421" s="13" t="s">
        <v>26</v>
      </c>
      <c r="F421" s="13">
        <v>2533</v>
      </c>
      <c r="G421" s="13" t="s">
        <v>27</v>
      </c>
      <c r="H421" s="13" t="s">
        <v>286</v>
      </c>
      <c r="I421" s="12"/>
      <c r="J421" s="13">
        <v>619500461</v>
      </c>
      <c r="K421" s="13"/>
      <c r="L421" s="13" t="s">
        <v>287</v>
      </c>
      <c r="M421" s="14" t="s">
        <v>1073</v>
      </c>
      <c r="N421" s="13" t="s">
        <v>1068</v>
      </c>
      <c r="O421" s="12">
        <v>6</v>
      </c>
      <c r="P421" s="12" t="s">
        <v>174</v>
      </c>
      <c r="Q421" s="12" t="s">
        <v>174</v>
      </c>
      <c r="R421" s="12" t="s">
        <v>867</v>
      </c>
      <c r="S421" s="14" t="s">
        <v>166</v>
      </c>
      <c r="T421" s="12" t="s">
        <v>1110</v>
      </c>
      <c r="U421" s="14" t="s">
        <v>780</v>
      </c>
      <c r="V421" s="14"/>
      <c r="W421" s="14"/>
      <c r="X421" s="12"/>
      <c r="Y421" s="12"/>
      <c r="Z421" s="14"/>
      <c r="AA421" s="12"/>
      <c r="AB421" s="15"/>
      <c r="AC421" s="16" t="s">
        <v>111</v>
      </c>
      <c r="AD421" s="16" t="s">
        <v>111</v>
      </c>
      <c r="AE421" s="16" t="s">
        <v>111</v>
      </c>
      <c r="AF421" s="16" t="s">
        <v>111</v>
      </c>
      <c r="AG421" s="16" t="s">
        <v>111</v>
      </c>
      <c r="AH421" s="14" t="s">
        <v>1149</v>
      </c>
      <c r="AI421" s="54">
        <v>0</v>
      </c>
      <c r="AJ421" s="54">
        <v>0</v>
      </c>
      <c r="AK421" s="54">
        <v>1</v>
      </c>
      <c r="AL421" s="54">
        <v>1</v>
      </c>
      <c r="AM421" s="54">
        <v>1</v>
      </c>
      <c r="AN421" s="14" t="s">
        <v>166</v>
      </c>
    </row>
    <row r="422" spans="1:40" ht="47.25" x14ac:dyDescent="0.25">
      <c r="A422" s="12" t="s">
        <v>1683</v>
      </c>
      <c r="B422" s="12" t="s">
        <v>1684</v>
      </c>
      <c r="C422" s="12" t="s">
        <v>1129</v>
      </c>
      <c r="D422" s="13" t="s">
        <v>28</v>
      </c>
      <c r="E422" s="13" t="s">
        <v>28</v>
      </c>
      <c r="F422" s="13">
        <v>2533</v>
      </c>
      <c r="G422" s="13" t="s">
        <v>29</v>
      </c>
      <c r="H422" s="13" t="s">
        <v>286</v>
      </c>
      <c r="I422" s="12"/>
      <c r="J422" s="13">
        <v>619500461</v>
      </c>
      <c r="K422" s="13"/>
      <c r="L422" s="13" t="s">
        <v>287</v>
      </c>
      <c r="M422" s="14" t="s">
        <v>1073</v>
      </c>
      <c r="N422" s="13" t="s">
        <v>1068</v>
      </c>
      <c r="O422" s="12">
        <v>3</v>
      </c>
      <c r="P422" s="12" t="s">
        <v>174</v>
      </c>
      <c r="Q422" s="12" t="s">
        <v>174</v>
      </c>
      <c r="R422" s="12" t="s">
        <v>867</v>
      </c>
      <c r="S422" s="14" t="s">
        <v>166</v>
      </c>
      <c r="T422" s="12" t="s">
        <v>1110</v>
      </c>
      <c r="U422" s="14" t="s">
        <v>780</v>
      </c>
      <c r="V422" s="14"/>
      <c r="W422" s="14"/>
      <c r="X422" s="12"/>
      <c r="Y422" s="12"/>
      <c r="Z422" s="14"/>
      <c r="AA422" s="12"/>
      <c r="AB422" s="15"/>
      <c r="AC422" s="16" t="s">
        <v>111</v>
      </c>
      <c r="AD422" s="16" t="s">
        <v>111</v>
      </c>
      <c r="AE422" s="16" t="s">
        <v>111</v>
      </c>
      <c r="AF422" s="16" t="s">
        <v>111</v>
      </c>
      <c r="AG422" s="16">
        <v>0</v>
      </c>
      <c r="AH422" s="14" t="s">
        <v>1149</v>
      </c>
      <c r="AI422" s="54">
        <v>0</v>
      </c>
      <c r="AJ422" s="54">
        <v>0</v>
      </c>
      <c r="AK422" s="54">
        <v>1</v>
      </c>
      <c r="AL422" s="54">
        <v>1</v>
      </c>
      <c r="AM422" s="54">
        <v>1</v>
      </c>
      <c r="AN422" s="14" t="s">
        <v>166</v>
      </c>
    </row>
    <row r="423" spans="1:40" ht="47.25" x14ac:dyDescent="0.25">
      <c r="A423" s="12" t="e">
        <v>#REF!</v>
      </c>
      <c r="B423" s="12" t="e">
        <v>#REF!</v>
      </c>
      <c r="C423" s="12" t="s">
        <v>1129</v>
      </c>
      <c r="D423" s="13" t="s">
        <v>30</v>
      </c>
      <c r="E423" s="13" t="s">
        <v>30</v>
      </c>
      <c r="F423" s="13">
        <v>3682</v>
      </c>
      <c r="G423" s="13" t="s">
        <v>31</v>
      </c>
      <c r="H423" s="13" t="s">
        <v>294</v>
      </c>
      <c r="I423" s="12"/>
      <c r="J423" s="13">
        <v>683297989</v>
      </c>
      <c r="K423" s="13"/>
      <c r="L423" s="13" t="s">
        <v>295</v>
      </c>
      <c r="M423" s="14" t="s">
        <v>1073</v>
      </c>
      <c r="N423" s="13" t="s">
        <v>1068</v>
      </c>
      <c r="O423" s="12">
        <v>3</v>
      </c>
      <c r="P423" s="12" t="s">
        <v>174</v>
      </c>
      <c r="Q423" s="12" t="s">
        <v>868</v>
      </c>
      <c r="R423" s="12" t="s">
        <v>174</v>
      </c>
      <c r="S423" s="14" t="s">
        <v>166</v>
      </c>
      <c r="T423" s="12" t="s">
        <v>1110</v>
      </c>
      <c r="U423" s="14" t="s">
        <v>780</v>
      </c>
      <c r="V423" s="14"/>
      <c r="W423" s="14"/>
      <c r="X423" s="12"/>
      <c r="Y423" s="12"/>
      <c r="Z423" s="14"/>
      <c r="AA423" s="12"/>
      <c r="AB423" s="15"/>
      <c r="AC423" s="16" t="s">
        <v>111</v>
      </c>
      <c r="AD423" s="16" t="s">
        <v>111</v>
      </c>
      <c r="AE423" s="16" t="s">
        <v>111</v>
      </c>
      <c r="AF423" s="16" t="s">
        <v>111</v>
      </c>
      <c r="AG423" s="16">
        <v>1</v>
      </c>
      <c r="AH423" s="14" t="s">
        <v>1149</v>
      </c>
      <c r="AI423" s="54">
        <v>0</v>
      </c>
      <c r="AJ423" s="54">
        <v>0</v>
      </c>
      <c r="AK423" s="54">
        <v>1</v>
      </c>
      <c r="AL423" s="54">
        <v>1</v>
      </c>
      <c r="AM423" s="54">
        <v>1</v>
      </c>
      <c r="AN423" s="14" t="s">
        <v>166</v>
      </c>
    </row>
    <row r="424" spans="1:40" ht="63" x14ac:dyDescent="0.25">
      <c r="A424" s="12" t="e">
        <v>#REF!</v>
      </c>
      <c r="B424" s="12" t="e">
        <v>#REF!</v>
      </c>
      <c r="C424" s="12" t="s">
        <v>1129</v>
      </c>
      <c r="D424" s="13" t="s">
        <v>1001</v>
      </c>
      <c r="E424" s="13" t="s">
        <v>1018</v>
      </c>
      <c r="F424" s="13">
        <v>3682</v>
      </c>
      <c r="G424" s="13" t="s">
        <v>34</v>
      </c>
      <c r="H424" s="13" t="s">
        <v>294</v>
      </c>
      <c r="I424" s="12"/>
      <c r="J424" s="13">
        <v>683297989</v>
      </c>
      <c r="K424" s="13"/>
      <c r="L424" s="13" t="s">
        <v>295</v>
      </c>
      <c r="M424" s="14" t="s">
        <v>1073</v>
      </c>
      <c r="N424" s="13" t="s">
        <v>1068</v>
      </c>
      <c r="O424" s="12">
        <v>3</v>
      </c>
      <c r="P424" s="12" t="s">
        <v>174</v>
      </c>
      <c r="Q424" s="12" t="s">
        <v>868</v>
      </c>
      <c r="R424" s="12" t="s">
        <v>174</v>
      </c>
      <c r="S424" s="14" t="s">
        <v>166</v>
      </c>
      <c r="T424" s="12" t="s">
        <v>1110</v>
      </c>
      <c r="U424" s="14" t="s">
        <v>780</v>
      </c>
      <c r="V424" s="14"/>
      <c r="W424" s="14"/>
      <c r="X424" s="12"/>
      <c r="Y424" s="12"/>
      <c r="Z424" s="14"/>
      <c r="AA424" s="12"/>
      <c r="AB424" s="15"/>
      <c r="AC424" s="16">
        <v>0</v>
      </c>
      <c r="AD424" s="16">
        <v>0</v>
      </c>
      <c r="AE424" s="16">
        <v>1</v>
      </c>
      <c r="AF424" s="16">
        <v>0</v>
      </c>
      <c r="AG424" s="16">
        <v>1</v>
      </c>
      <c r="AH424" s="14" t="s">
        <v>166</v>
      </c>
      <c r="AI424" s="54">
        <v>0</v>
      </c>
      <c r="AJ424" s="54">
        <v>0</v>
      </c>
      <c r="AK424" s="54">
        <v>1</v>
      </c>
      <c r="AL424" s="54">
        <v>1</v>
      </c>
      <c r="AM424" s="54">
        <v>1</v>
      </c>
      <c r="AN424" s="14" t="s">
        <v>166</v>
      </c>
    </row>
    <row r="425" spans="1:40" ht="63" x14ac:dyDescent="0.25">
      <c r="A425" s="12" t="e">
        <v>#REF!</v>
      </c>
      <c r="B425" s="12" t="e">
        <v>#REF!</v>
      </c>
      <c r="C425" s="12" t="s">
        <v>1129</v>
      </c>
      <c r="D425" s="13" t="s">
        <v>1006</v>
      </c>
      <c r="E425" s="13" t="s">
        <v>1008</v>
      </c>
      <c r="F425" s="13">
        <v>2096</v>
      </c>
      <c r="G425" s="13" t="s">
        <v>34</v>
      </c>
      <c r="H425" s="13" t="s">
        <v>308</v>
      </c>
      <c r="I425" s="12"/>
      <c r="J425" s="13">
        <v>606610162</v>
      </c>
      <c r="K425" s="13"/>
      <c r="L425" s="13" t="s">
        <v>309</v>
      </c>
      <c r="M425" s="14" t="s">
        <v>1073</v>
      </c>
      <c r="N425" s="13" t="s">
        <v>1068</v>
      </c>
      <c r="O425" s="12">
        <v>3</v>
      </c>
      <c r="P425" s="12" t="s">
        <v>174</v>
      </c>
      <c r="Q425" s="12" t="s">
        <v>868</v>
      </c>
      <c r="R425" s="12" t="s">
        <v>867</v>
      </c>
      <c r="S425" s="14" t="s">
        <v>166</v>
      </c>
      <c r="T425" s="12" t="s">
        <v>1110</v>
      </c>
      <c r="U425" s="14" t="s">
        <v>780</v>
      </c>
      <c r="V425" s="14"/>
      <c r="W425" s="14"/>
      <c r="X425" s="12"/>
      <c r="Y425" s="12"/>
      <c r="Z425" s="14"/>
      <c r="AA425" s="12"/>
      <c r="AB425" s="15"/>
      <c r="AC425" s="16">
        <v>0</v>
      </c>
      <c r="AD425" s="16">
        <v>0</v>
      </c>
      <c r="AE425" s="16">
        <v>1</v>
      </c>
      <c r="AF425" s="16">
        <v>0</v>
      </c>
      <c r="AG425" s="16">
        <v>1</v>
      </c>
      <c r="AH425" s="14" t="s">
        <v>166</v>
      </c>
      <c r="AI425" s="54">
        <v>0</v>
      </c>
      <c r="AJ425" s="54">
        <v>0</v>
      </c>
      <c r="AK425" s="54">
        <v>1</v>
      </c>
      <c r="AL425" s="54">
        <v>1</v>
      </c>
      <c r="AM425" s="54">
        <v>1</v>
      </c>
      <c r="AN425" s="14" t="s">
        <v>166</v>
      </c>
    </row>
    <row r="426" spans="1:40" ht="63" x14ac:dyDescent="0.25">
      <c r="A426" s="12" t="e">
        <v>#REF!</v>
      </c>
      <c r="B426" s="12" t="e">
        <v>#REF!</v>
      </c>
      <c r="C426" s="12" t="s">
        <v>1129</v>
      </c>
      <c r="D426" s="13" t="s">
        <v>1006</v>
      </c>
      <c r="E426" s="13" t="s">
        <v>1008</v>
      </c>
      <c r="F426" s="13">
        <v>3</v>
      </c>
      <c r="G426" s="13" t="s">
        <v>34</v>
      </c>
      <c r="H426" s="13" t="s">
        <v>304</v>
      </c>
      <c r="I426" s="12"/>
      <c r="J426" s="13">
        <v>659602129</v>
      </c>
      <c r="K426" s="13"/>
      <c r="L426" s="13" t="s">
        <v>305</v>
      </c>
      <c r="M426" s="14" t="s">
        <v>1074</v>
      </c>
      <c r="N426" s="13" t="s">
        <v>1069</v>
      </c>
      <c r="O426" s="12">
        <v>3</v>
      </c>
      <c r="P426" s="12" t="s">
        <v>174</v>
      </c>
      <c r="Q426" s="12" t="s">
        <v>868</v>
      </c>
      <c r="R426" s="12" t="s">
        <v>174</v>
      </c>
      <c r="S426" s="14" t="s">
        <v>166</v>
      </c>
      <c r="T426" s="12" t="s">
        <v>1110</v>
      </c>
      <c r="U426" s="14" t="s">
        <v>781</v>
      </c>
      <c r="V426" s="14"/>
      <c r="W426" s="14"/>
      <c r="X426" s="12"/>
      <c r="Y426" s="12"/>
      <c r="Z426" s="14"/>
      <c r="AA426" s="12"/>
      <c r="AB426" s="15"/>
      <c r="AC426" s="16">
        <v>0</v>
      </c>
      <c r="AD426" s="16">
        <v>0</v>
      </c>
      <c r="AE426" s="16">
        <v>1</v>
      </c>
      <c r="AF426" s="16">
        <v>0</v>
      </c>
      <c r="AG426" s="16">
        <v>0</v>
      </c>
      <c r="AH426" s="14" t="s">
        <v>166</v>
      </c>
      <c r="AI426" s="54">
        <v>0</v>
      </c>
      <c r="AJ426" s="54">
        <v>0</v>
      </c>
      <c r="AK426" s="54">
        <v>1</v>
      </c>
      <c r="AL426" s="54">
        <v>1</v>
      </c>
      <c r="AM426" s="54">
        <v>1</v>
      </c>
      <c r="AN426" s="14" t="s">
        <v>166</v>
      </c>
    </row>
    <row r="427" spans="1:40" ht="63" x14ac:dyDescent="0.25">
      <c r="A427" s="12" t="e">
        <v>#REF!</v>
      </c>
      <c r="B427" s="12" t="e">
        <v>#REF!</v>
      </c>
      <c r="C427" s="12" t="s">
        <v>1129</v>
      </c>
      <c r="D427" s="13" t="s">
        <v>1006</v>
      </c>
      <c r="E427" s="13" t="s">
        <v>1008</v>
      </c>
      <c r="F427" s="13">
        <v>2481</v>
      </c>
      <c r="G427" s="13" t="s">
        <v>34</v>
      </c>
      <c r="H427" s="13" t="s">
        <v>825</v>
      </c>
      <c r="I427" s="12"/>
      <c r="J427" s="13">
        <v>680392507</v>
      </c>
      <c r="K427" s="13"/>
      <c r="L427" s="13" t="s">
        <v>779</v>
      </c>
      <c r="M427" s="14" t="s">
        <v>1073</v>
      </c>
      <c r="N427" s="13" t="s">
        <v>1068</v>
      </c>
      <c r="O427" s="12">
        <v>3</v>
      </c>
      <c r="P427" s="12" t="s">
        <v>1045</v>
      </c>
      <c r="Q427" s="12" t="s">
        <v>868</v>
      </c>
      <c r="R427" s="12" t="s">
        <v>174</v>
      </c>
      <c r="S427" s="14" t="s">
        <v>166</v>
      </c>
      <c r="T427" s="12" t="s">
        <v>1110</v>
      </c>
      <c r="U427" s="14" t="s">
        <v>780</v>
      </c>
      <c r="V427" s="14"/>
      <c r="W427" s="14"/>
      <c r="X427" s="12"/>
      <c r="Y427" s="12"/>
      <c r="Z427" s="14"/>
      <c r="AA427" s="12"/>
      <c r="AB427" s="15"/>
      <c r="AC427" s="16">
        <v>0</v>
      </c>
      <c r="AD427" s="16">
        <v>0</v>
      </c>
      <c r="AE427" s="16">
        <v>0</v>
      </c>
      <c r="AF427" s="16">
        <v>0</v>
      </c>
      <c r="AG427" s="16">
        <v>1</v>
      </c>
      <c r="AH427" s="14" t="s">
        <v>166</v>
      </c>
      <c r="AI427" s="54">
        <v>0</v>
      </c>
      <c r="AJ427" s="54">
        <v>0</v>
      </c>
      <c r="AK427" s="54">
        <v>0</v>
      </c>
      <c r="AL427" s="54">
        <v>1</v>
      </c>
      <c r="AM427" s="54">
        <v>1</v>
      </c>
      <c r="AN427" s="14" t="s">
        <v>166</v>
      </c>
    </row>
    <row r="428" spans="1:40" ht="63" x14ac:dyDescent="0.25">
      <c r="A428" s="12" t="e">
        <v>#REF!</v>
      </c>
      <c r="B428" s="12" t="e">
        <v>#REF!</v>
      </c>
      <c r="C428" s="12" t="s">
        <v>1129</v>
      </c>
      <c r="D428" s="13" t="s">
        <v>1006</v>
      </c>
      <c r="E428" s="13" t="s">
        <v>1008</v>
      </c>
      <c r="F428" s="13">
        <v>6732</v>
      </c>
      <c r="G428" s="13" t="s">
        <v>34</v>
      </c>
      <c r="H428" s="13" t="s">
        <v>1044</v>
      </c>
      <c r="I428" s="12"/>
      <c r="J428" s="13">
        <v>636541677</v>
      </c>
      <c r="K428" s="13"/>
      <c r="L428" s="13" t="s">
        <v>1066</v>
      </c>
      <c r="M428" s="14" t="s">
        <v>1073</v>
      </c>
      <c r="N428" s="13" t="s">
        <v>1068</v>
      </c>
      <c r="O428" s="12">
        <v>3</v>
      </c>
      <c r="P428" s="12" t="s">
        <v>174</v>
      </c>
      <c r="Q428" s="12" t="s">
        <v>868</v>
      </c>
      <c r="R428" s="12" t="s">
        <v>174</v>
      </c>
      <c r="S428" s="14" t="s">
        <v>166</v>
      </c>
      <c r="T428" s="12" t="s">
        <v>1199</v>
      </c>
      <c r="U428" s="14" t="s">
        <v>780</v>
      </c>
      <c r="V428" s="14"/>
      <c r="W428" s="14"/>
      <c r="X428" s="12"/>
      <c r="Y428" s="12"/>
      <c r="Z428" s="14"/>
      <c r="AA428" s="12"/>
      <c r="AB428" s="15"/>
      <c r="AC428" s="16">
        <v>0</v>
      </c>
      <c r="AD428" s="16">
        <v>0</v>
      </c>
      <c r="AE428" s="16">
        <v>0</v>
      </c>
      <c r="AF428" s="16">
        <v>0</v>
      </c>
      <c r="AG428" s="16">
        <v>0</v>
      </c>
      <c r="AH428" s="14" t="s">
        <v>174</v>
      </c>
      <c r="AI428" s="54">
        <v>0</v>
      </c>
      <c r="AJ428" s="54">
        <v>0</v>
      </c>
      <c r="AK428" s="54">
        <v>1</v>
      </c>
      <c r="AL428" s="54">
        <v>1</v>
      </c>
      <c r="AM428" s="54">
        <v>1</v>
      </c>
      <c r="AN428" s="14" t="s">
        <v>166</v>
      </c>
    </row>
    <row r="429" spans="1:40" ht="47.25" x14ac:dyDescent="0.25">
      <c r="A429" s="12" t="e">
        <v>#REF!</v>
      </c>
      <c r="B429" s="12" t="e">
        <v>#REF!</v>
      </c>
      <c r="C429" s="12" t="s">
        <v>1129</v>
      </c>
      <c r="D429" s="13" t="s">
        <v>986</v>
      </c>
      <c r="E429" s="13" t="s">
        <v>1009</v>
      </c>
      <c r="F429" s="13">
        <v>4166</v>
      </c>
      <c r="G429" s="13" t="s">
        <v>34</v>
      </c>
      <c r="H429" s="13" t="s">
        <v>310</v>
      </c>
      <c r="I429" s="12"/>
      <c r="J429" s="13">
        <v>636867379</v>
      </c>
      <c r="K429" s="13"/>
      <c r="L429" s="13" t="s">
        <v>311</v>
      </c>
      <c r="M429" s="14" t="s">
        <v>1073</v>
      </c>
      <c r="N429" s="13" t="s">
        <v>1068</v>
      </c>
      <c r="O429" s="12">
        <v>3</v>
      </c>
      <c r="P429" s="12" t="s">
        <v>174</v>
      </c>
      <c r="Q429" s="12" t="s">
        <v>868</v>
      </c>
      <c r="R429" s="12" t="s">
        <v>174</v>
      </c>
      <c r="S429" s="14" t="s">
        <v>166</v>
      </c>
      <c r="T429" s="12" t="s">
        <v>1110</v>
      </c>
      <c r="U429" s="14" t="s">
        <v>780</v>
      </c>
      <c r="V429" s="14"/>
      <c r="W429" s="14"/>
      <c r="X429" s="12"/>
      <c r="Y429" s="12"/>
      <c r="Z429" s="14"/>
      <c r="AA429" s="12"/>
      <c r="AB429" s="15"/>
      <c r="AC429" s="16">
        <v>0</v>
      </c>
      <c r="AD429" s="16">
        <v>0</v>
      </c>
      <c r="AE429" s="16">
        <v>0</v>
      </c>
      <c r="AF429" s="16">
        <v>1</v>
      </c>
      <c r="AG429" s="16">
        <v>1</v>
      </c>
      <c r="AH429" s="14" t="s">
        <v>166</v>
      </c>
      <c r="AI429" s="54"/>
      <c r="AJ429" s="54"/>
      <c r="AK429" s="54"/>
      <c r="AL429" s="54"/>
      <c r="AM429" s="54">
        <v>1</v>
      </c>
      <c r="AN429" s="14" t="s">
        <v>166</v>
      </c>
    </row>
    <row r="430" spans="1:40" ht="47.25" x14ac:dyDescent="0.25">
      <c r="A430" s="12" t="e">
        <v>#REF!</v>
      </c>
      <c r="B430" s="12" t="e">
        <v>#REF!</v>
      </c>
      <c r="C430" s="12" t="s">
        <v>1129</v>
      </c>
      <c r="D430" s="13" t="s">
        <v>986</v>
      </c>
      <c r="E430" s="13" t="s">
        <v>1009</v>
      </c>
      <c r="F430" s="13">
        <v>2666</v>
      </c>
      <c r="G430" s="13" t="s">
        <v>34</v>
      </c>
      <c r="H430" s="13" t="s">
        <v>316</v>
      </c>
      <c r="I430" s="12"/>
      <c r="J430" s="13">
        <v>686235908</v>
      </c>
      <c r="K430" s="13"/>
      <c r="L430" s="13" t="s">
        <v>317</v>
      </c>
      <c r="M430" s="14" t="s">
        <v>1073</v>
      </c>
      <c r="N430" s="13" t="s">
        <v>1068</v>
      </c>
      <c r="O430" s="12">
        <v>3</v>
      </c>
      <c r="P430" s="12" t="s">
        <v>174</v>
      </c>
      <c r="Q430" s="12" t="s">
        <v>868</v>
      </c>
      <c r="R430" s="12" t="s">
        <v>174</v>
      </c>
      <c r="S430" s="14" t="s">
        <v>166</v>
      </c>
      <c r="T430" s="12" t="s">
        <v>1110</v>
      </c>
      <c r="U430" s="14" t="s">
        <v>780</v>
      </c>
      <c r="V430" s="14"/>
      <c r="W430" s="14"/>
      <c r="X430" s="12"/>
      <c r="Y430" s="12"/>
      <c r="Z430" s="14"/>
      <c r="AA430" s="12"/>
      <c r="AB430" s="15"/>
      <c r="AC430" s="16">
        <v>0</v>
      </c>
      <c r="AD430" s="16">
        <v>0</v>
      </c>
      <c r="AE430" s="16">
        <v>0</v>
      </c>
      <c r="AF430" s="16">
        <v>1</v>
      </c>
      <c r="AG430" s="16">
        <v>1</v>
      </c>
      <c r="AH430" s="14" t="s">
        <v>166</v>
      </c>
      <c r="AI430" s="54"/>
      <c r="AJ430" s="54"/>
      <c r="AK430" s="54"/>
      <c r="AL430" s="54"/>
      <c r="AM430" s="54">
        <v>1</v>
      </c>
      <c r="AN430" s="14" t="s">
        <v>166</v>
      </c>
    </row>
    <row r="431" spans="1:40" ht="47.25" x14ac:dyDescent="0.25">
      <c r="A431" s="12" t="e">
        <v>#REF!</v>
      </c>
      <c r="B431" s="12" t="e">
        <v>#REF!</v>
      </c>
      <c r="C431" s="12" t="s">
        <v>1129</v>
      </c>
      <c r="D431" s="13" t="s">
        <v>986</v>
      </c>
      <c r="E431" s="13" t="s">
        <v>1009</v>
      </c>
      <c r="F431" s="13">
        <v>2670</v>
      </c>
      <c r="G431" s="13" t="s">
        <v>34</v>
      </c>
      <c r="H431" s="13" t="s">
        <v>314</v>
      </c>
      <c r="I431" s="12"/>
      <c r="J431" s="13">
        <v>646119394</v>
      </c>
      <c r="K431" s="13"/>
      <c r="L431" s="13" t="s">
        <v>315</v>
      </c>
      <c r="M431" s="14" t="s">
        <v>1073</v>
      </c>
      <c r="N431" s="13" t="s">
        <v>1068</v>
      </c>
      <c r="O431" s="12">
        <v>3</v>
      </c>
      <c r="P431" s="12" t="s">
        <v>174</v>
      </c>
      <c r="Q431" s="12" t="s">
        <v>868</v>
      </c>
      <c r="R431" s="12" t="s">
        <v>174</v>
      </c>
      <c r="S431" s="14" t="s">
        <v>166</v>
      </c>
      <c r="T431" s="12" t="s">
        <v>1110</v>
      </c>
      <c r="U431" s="14" t="s">
        <v>780</v>
      </c>
      <c r="V431" s="14"/>
      <c r="W431" s="14"/>
      <c r="X431" s="12"/>
      <c r="Y431" s="12"/>
      <c r="Z431" s="14"/>
      <c r="AA431" s="12"/>
      <c r="AB431" s="15"/>
      <c r="AC431" s="16">
        <v>0</v>
      </c>
      <c r="AD431" s="16">
        <v>0</v>
      </c>
      <c r="AE431" s="16">
        <v>0</v>
      </c>
      <c r="AF431" s="16">
        <v>0</v>
      </c>
      <c r="AG431" s="16">
        <v>1</v>
      </c>
      <c r="AH431" s="14" t="s">
        <v>166</v>
      </c>
      <c r="AI431" s="54"/>
      <c r="AJ431" s="54"/>
      <c r="AK431" s="54"/>
      <c r="AL431" s="54"/>
      <c r="AM431" s="54">
        <v>1</v>
      </c>
      <c r="AN431" s="14" t="s">
        <v>166</v>
      </c>
    </row>
    <row r="432" spans="1:40" ht="47.25" x14ac:dyDescent="0.25">
      <c r="A432" s="12" t="e">
        <v>#REF!</v>
      </c>
      <c r="B432" s="12" t="e">
        <v>#REF!</v>
      </c>
      <c r="C432" s="12" t="s">
        <v>1129</v>
      </c>
      <c r="D432" s="13" t="s">
        <v>986</v>
      </c>
      <c r="E432" s="13" t="s">
        <v>1009</v>
      </c>
      <c r="F432" s="13">
        <v>5350</v>
      </c>
      <c r="G432" s="13" t="s">
        <v>34</v>
      </c>
      <c r="H432" s="13" t="s">
        <v>902</v>
      </c>
      <c r="I432" s="12"/>
      <c r="J432" s="13">
        <v>659031545</v>
      </c>
      <c r="K432" s="13"/>
      <c r="L432" s="13" t="s">
        <v>903</v>
      </c>
      <c r="M432" s="14" t="s">
        <v>1073</v>
      </c>
      <c r="N432" s="13" t="s">
        <v>1068</v>
      </c>
      <c r="O432" s="12">
        <v>3</v>
      </c>
      <c r="P432" s="12" t="s">
        <v>174</v>
      </c>
      <c r="Q432" s="12" t="s">
        <v>868</v>
      </c>
      <c r="R432" s="12" t="s">
        <v>174</v>
      </c>
      <c r="S432" s="14" t="s">
        <v>166</v>
      </c>
      <c r="T432" s="12" t="s">
        <v>1110</v>
      </c>
      <c r="U432" s="14" t="s">
        <v>780</v>
      </c>
      <c r="V432" s="14"/>
      <c r="W432" s="14"/>
      <c r="X432" s="12"/>
      <c r="Y432" s="12"/>
      <c r="Z432" s="14"/>
      <c r="AA432" s="12"/>
      <c r="AB432" s="15"/>
      <c r="AC432" s="16">
        <v>0</v>
      </c>
      <c r="AD432" s="16">
        <v>0</v>
      </c>
      <c r="AE432" s="16">
        <v>0</v>
      </c>
      <c r="AF432" s="16">
        <v>0</v>
      </c>
      <c r="AG432" s="16">
        <v>1</v>
      </c>
      <c r="AH432" s="14" t="s">
        <v>166</v>
      </c>
      <c r="AI432" s="54"/>
      <c r="AJ432" s="54"/>
      <c r="AK432" s="54"/>
      <c r="AL432" s="54"/>
      <c r="AM432" s="54">
        <v>1</v>
      </c>
      <c r="AN432" s="14" t="s">
        <v>166</v>
      </c>
    </row>
    <row r="433" spans="1:40" ht="47.25" x14ac:dyDescent="0.25">
      <c r="A433" s="12" t="e">
        <v>#REF!</v>
      </c>
      <c r="B433" s="12" t="e">
        <v>#REF!</v>
      </c>
      <c r="C433" s="12" t="s">
        <v>1129</v>
      </c>
      <c r="D433" s="13" t="s">
        <v>986</v>
      </c>
      <c r="E433" s="13" t="s">
        <v>1009</v>
      </c>
      <c r="F433" s="13">
        <v>3814</v>
      </c>
      <c r="G433" s="13" t="s">
        <v>34</v>
      </c>
      <c r="H433" s="13" t="s">
        <v>290</v>
      </c>
      <c r="I433" s="12"/>
      <c r="J433" s="13">
        <v>681084141</v>
      </c>
      <c r="K433" s="13"/>
      <c r="L433" s="13" t="s">
        <v>291</v>
      </c>
      <c r="M433" s="14" t="s">
        <v>1073</v>
      </c>
      <c r="N433" s="13" t="s">
        <v>1068</v>
      </c>
      <c r="O433" s="12">
        <v>3</v>
      </c>
      <c r="P433" s="12" t="s">
        <v>174</v>
      </c>
      <c r="Q433" s="12" t="s">
        <v>868</v>
      </c>
      <c r="R433" s="12" t="s">
        <v>174</v>
      </c>
      <c r="S433" s="14" t="s">
        <v>166</v>
      </c>
      <c r="T433" s="12" t="s">
        <v>1110</v>
      </c>
      <c r="U433" s="14" t="s">
        <v>780</v>
      </c>
      <c r="V433" s="14"/>
      <c r="W433" s="14"/>
      <c r="X433" s="12"/>
      <c r="Y433" s="12"/>
      <c r="Z433" s="14"/>
      <c r="AA433" s="12"/>
      <c r="AB433" s="15"/>
      <c r="AC433" s="16">
        <v>0</v>
      </c>
      <c r="AD433" s="16">
        <v>0</v>
      </c>
      <c r="AE433" s="16">
        <v>0</v>
      </c>
      <c r="AF433" s="16">
        <v>1</v>
      </c>
      <c r="AG433" s="16">
        <v>0</v>
      </c>
      <c r="AH433" s="14" t="s">
        <v>166</v>
      </c>
      <c r="AI433" s="54"/>
      <c r="AJ433" s="54"/>
      <c r="AK433" s="54"/>
      <c r="AL433" s="54"/>
      <c r="AM433" s="54">
        <v>1</v>
      </c>
      <c r="AN433" s="14" t="s">
        <v>166</v>
      </c>
    </row>
    <row r="434" spans="1:40" ht="47.25" x14ac:dyDescent="0.25">
      <c r="A434" s="12" t="e">
        <v>#REF!</v>
      </c>
      <c r="B434" s="12" t="e">
        <v>#REF!</v>
      </c>
      <c r="C434" s="12" t="s">
        <v>1129</v>
      </c>
      <c r="D434" s="13" t="s">
        <v>986</v>
      </c>
      <c r="E434" s="13" t="s">
        <v>1009</v>
      </c>
      <c r="F434" s="13">
        <v>2534</v>
      </c>
      <c r="G434" s="13" t="s">
        <v>34</v>
      </c>
      <c r="H434" s="13" t="s">
        <v>292</v>
      </c>
      <c r="I434" s="12"/>
      <c r="J434" s="13">
        <v>672431633</v>
      </c>
      <c r="K434" s="13"/>
      <c r="L434" s="13" t="s">
        <v>293</v>
      </c>
      <c r="M434" s="14" t="s">
        <v>1073</v>
      </c>
      <c r="N434" s="13" t="s">
        <v>1068</v>
      </c>
      <c r="O434" s="12">
        <v>3</v>
      </c>
      <c r="P434" s="12" t="s">
        <v>174</v>
      </c>
      <c r="Q434" s="12" t="s">
        <v>868</v>
      </c>
      <c r="R434" s="12" t="s">
        <v>174</v>
      </c>
      <c r="S434" s="14" t="s">
        <v>166</v>
      </c>
      <c r="T434" s="12" t="s">
        <v>1110</v>
      </c>
      <c r="U434" s="14" t="s">
        <v>780</v>
      </c>
      <c r="V434" s="14"/>
      <c r="W434" s="14"/>
      <c r="X434" s="12"/>
      <c r="Y434" s="12"/>
      <c r="Z434" s="14"/>
      <c r="AA434" s="12"/>
      <c r="AB434" s="15"/>
      <c r="AC434" s="16">
        <v>1</v>
      </c>
      <c r="AD434" s="16">
        <v>1</v>
      </c>
      <c r="AE434" s="16">
        <v>0</v>
      </c>
      <c r="AF434" s="16">
        <v>0</v>
      </c>
      <c r="AG434" s="16">
        <v>0</v>
      </c>
      <c r="AH434" s="14" t="s">
        <v>166</v>
      </c>
      <c r="AI434" s="54"/>
      <c r="AJ434" s="54"/>
      <c r="AK434" s="54"/>
      <c r="AL434" s="54"/>
      <c r="AM434" s="54">
        <v>1</v>
      </c>
      <c r="AN434" s="14" t="s">
        <v>166</v>
      </c>
    </row>
    <row r="435" spans="1:40" ht="47.25" x14ac:dyDescent="0.25">
      <c r="A435" s="12" t="e">
        <v>#REF!</v>
      </c>
      <c r="B435" s="12" t="e">
        <v>#REF!</v>
      </c>
      <c r="C435" s="12" t="s">
        <v>1129</v>
      </c>
      <c r="D435" s="13" t="s">
        <v>986</v>
      </c>
      <c r="E435" s="13" t="s">
        <v>1009</v>
      </c>
      <c r="F435" s="13">
        <v>4742</v>
      </c>
      <c r="G435" s="13" t="s">
        <v>34</v>
      </c>
      <c r="H435" s="13" t="s">
        <v>288</v>
      </c>
      <c r="I435" s="12"/>
      <c r="J435" s="13">
        <v>686863652</v>
      </c>
      <c r="K435" s="13"/>
      <c r="L435" s="13" t="s">
        <v>289</v>
      </c>
      <c r="M435" s="14" t="s">
        <v>1073</v>
      </c>
      <c r="N435" s="13" t="s">
        <v>1068</v>
      </c>
      <c r="O435" s="12">
        <v>3</v>
      </c>
      <c r="P435" s="12" t="s">
        <v>174</v>
      </c>
      <c r="Q435" s="12" t="s">
        <v>174</v>
      </c>
      <c r="R435" s="12" t="s">
        <v>174</v>
      </c>
      <c r="S435" s="14" t="s">
        <v>166</v>
      </c>
      <c r="T435" s="12" t="s">
        <v>1110</v>
      </c>
      <c r="U435" s="14" t="s">
        <v>780</v>
      </c>
      <c r="V435" s="14"/>
      <c r="W435" s="14"/>
      <c r="X435" s="12"/>
      <c r="Y435" s="12"/>
      <c r="Z435" s="14"/>
      <c r="AA435" s="12"/>
      <c r="AB435" s="15"/>
      <c r="AC435" s="16">
        <v>0</v>
      </c>
      <c r="AD435" s="16">
        <v>0</v>
      </c>
      <c r="AE435" s="16">
        <v>0</v>
      </c>
      <c r="AF435" s="16">
        <v>1</v>
      </c>
      <c r="AG435" s="16">
        <v>0</v>
      </c>
      <c r="AH435" s="14" t="s">
        <v>166</v>
      </c>
      <c r="AI435" s="54"/>
      <c r="AJ435" s="54"/>
      <c r="AK435" s="54"/>
      <c r="AL435" s="54"/>
      <c r="AM435" s="54">
        <v>1</v>
      </c>
      <c r="AN435" s="14" t="s">
        <v>166</v>
      </c>
    </row>
    <row r="436" spans="1:40" ht="47.25" x14ac:dyDescent="0.25">
      <c r="A436" s="12" t="e">
        <v>#REF!</v>
      </c>
      <c r="B436" s="12" t="e">
        <v>#REF!</v>
      </c>
      <c r="C436" s="12" t="s">
        <v>1129</v>
      </c>
      <c r="D436" s="13" t="s">
        <v>1007</v>
      </c>
      <c r="E436" s="13" t="s">
        <v>1010</v>
      </c>
      <c r="F436" s="13">
        <v>60</v>
      </c>
      <c r="G436" s="13" t="s">
        <v>34</v>
      </c>
      <c r="H436" s="13" t="s">
        <v>312</v>
      </c>
      <c r="I436" s="12"/>
      <c r="J436" s="13">
        <v>676960612</v>
      </c>
      <c r="K436" s="13"/>
      <c r="L436" s="13" t="s">
        <v>313</v>
      </c>
      <c r="M436" s="14" t="s">
        <v>1074</v>
      </c>
      <c r="N436" s="13" t="s">
        <v>1069</v>
      </c>
      <c r="O436" s="12">
        <v>3</v>
      </c>
      <c r="P436" s="12" t="s">
        <v>1045</v>
      </c>
      <c r="Q436" s="12" t="s">
        <v>868</v>
      </c>
      <c r="R436" s="12" t="s">
        <v>174</v>
      </c>
      <c r="S436" s="14" t="s">
        <v>166</v>
      </c>
      <c r="T436" s="12" t="s">
        <v>1110</v>
      </c>
      <c r="U436" s="14" t="s">
        <v>781</v>
      </c>
      <c r="V436" s="14"/>
      <c r="W436" s="14"/>
      <c r="X436" s="12"/>
      <c r="Y436" s="12"/>
      <c r="Z436" s="14"/>
      <c r="AA436" s="12"/>
      <c r="AB436" s="15"/>
      <c r="AC436" s="16">
        <v>0</v>
      </c>
      <c r="AD436" s="16">
        <v>0</v>
      </c>
      <c r="AE436" s="16">
        <v>0</v>
      </c>
      <c r="AF436" s="16">
        <v>0</v>
      </c>
      <c r="AG436" s="16">
        <v>1</v>
      </c>
      <c r="AH436" s="14" t="s">
        <v>166</v>
      </c>
      <c r="AI436" s="54"/>
      <c r="AJ436" s="54"/>
      <c r="AK436" s="54"/>
      <c r="AL436" s="54"/>
      <c r="AM436" s="54">
        <v>1</v>
      </c>
      <c r="AN436" s="14" t="s">
        <v>166</v>
      </c>
    </row>
    <row r="437" spans="1:40" ht="63" x14ac:dyDescent="0.25">
      <c r="A437" s="12" t="e">
        <v>#REF!</v>
      </c>
      <c r="B437" s="12" t="e">
        <v>#REF!</v>
      </c>
      <c r="C437" s="12" t="s">
        <v>1129</v>
      </c>
      <c r="D437" s="13" t="s">
        <v>1006</v>
      </c>
      <c r="E437" s="13" t="s">
        <v>1008</v>
      </c>
      <c r="F437" s="13">
        <v>4</v>
      </c>
      <c r="G437" s="13" t="s">
        <v>55</v>
      </c>
      <c r="H437" s="13" t="s">
        <v>306</v>
      </c>
      <c r="I437" s="12"/>
      <c r="J437" s="13">
        <v>680190272</v>
      </c>
      <c r="K437" s="13"/>
      <c r="L437" s="13" t="s">
        <v>307</v>
      </c>
      <c r="M437" s="14" t="s">
        <v>1074</v>
      </c>
      <c r="N437" s="13" t="s">
        <v>1069</v>
      </c>
      <c r="O437" s="12">
        <v>3</v>
      </c>
      <c r="P437" s="12" t="s">
        <v>174</v>
      </c>
      <c r="Q437" s="12" t="s">
        <v>868</v>
      </c>
      <c r="R437" s="12" t="s">
        <v>174</v>
      </c>
      <c r="S437" s="14" t="s">
        <v>166</v>
      </c>
      <c r="T437" s="12" t="s">
        <v>1110</v>
      </c>
      <c r="U437" s="14" t="s">
        <v>781</v>
      </c>
      <c r="V437" s="14"/>
      <c r="W437" s="14"/>
      <c r="X437" s="12"/>
      <c r="Y437" s="12"/>
      <c r="Z437" s="14"/>
      <c r="AA437" s="12"/>
      <c r="AB437" s="15"/>
      <c r="AC437" s="16">
        <v>0</v>
      </c>
      <c r="AD437" s="16">
        <v>0</v>
      </c>
      <c r="AE437" s="16">
        <v>0</v>
      </c>
      <c r="AF437" s="16">
        <v>1</v>
      </c>
      <c r="AG437" s="16">
        <v>0</v>
      </c>
      <c r="AH437" s="14" t="s">
        <v>166</v>
      </c>
      <c r="AI437" s="54">
        <v>0</v>
      </c>
      <c r="AJ437" s="54">
        <v>0</v>
      </c>
      <c r="AK437" s="54">
        <v>0</v>
      </c>
      <c r="AL437" s="54">
        <v>1</v>
      </c>
      <c r="AM437" s="54">
        <v>1</v>
      </c>
      <c r="AN437" s="14" t="s">
        <v>166</v>
      </c>
    </row>
    <row r="438" spans="1:40" ht="78.75" x14ac:dyDescent="0.25">
      <c r="A438" s="12" t="e">
        <v>#REF!</v>
      </c>
      <c r="B438" s="12" t="e">
        <v>#REF!</v>
      </c>
      <c r="C438" s="12" t="s">
        <v>1129</v>
      </c>
      <c r="D438" s="13" t="s">
        <v>988</v>
      </c>
      <c r="E438" s="13" t="s">
        <v>1011</v>
      </c>
      <c r="F438" s="13">
        <v>3660</v>
      </c>
      <c r="G438" s="13" t="s">
        <v>55</v>
      </c>
      <c r="H438" s="13" t="s">
        <v>302</v>
      </c>
      <c r="I438" s="12"/>
      <c r="J438" s="13">
        <v>682204667</v>
      </c>
      <c r="K438" s="13"/>
      <c r="L438" s="13" t="s">
        <v>303</v>
      </c>
      <c r="M438" s="14" t="s">
        <v>1073</v>
      </c>
      <c r="N438" s="13" t="s">
        <v>1068</v>
      </c>
      <c r="O438" s="12">
        <v>3</v>
      </c>
      <c r="P438" s="12" t="s">
        <v>174</v>
      </c>
      <c r="Q438" s="12" t="s">
        <v>868</v>
      </c>
      <c r="R438" s="12" t="s">
        <v>174</v>
      </c>
      <c r="S438" s="14" t="s">
        <v>166</v>
      </c>
      <c r="T438" s="12" t="s">
        <v>1110</v>
      </c>
      <c r="U438" s="14" t="s">
        <v>780</v>
      </c>
      <c r="V438" s="14"/>
      <c r="W438" s="14"/>
      <c r="X438" s="12"/>
      <c r="Y438" s="12"/>
      <c r="Z438" s="14"/>
      <c r="AA438" s="12"/>
      <c r="AB438" s="15"/>
      <c r="AC438" s="16">
        <v>0</v>
      </c>
      <c r="AD438" s="16">
        <v>0</v>
      </c>
      <c r="AE438" s="16">
        <v>0</v>
      </c>
      <c r="AF438" s="16">
        <v>0</v>
      </c>
      <c r="AG438" s="16">
        <v>1</v>
      </c>
      <c r="AH438" s="14" t="s">
        <v>166</v>
      </c>
      <c r="AI438" s="54"/>
      <c r="AJ438" s="54"/>
      <c r="AK438" s="54"/>
      <c r="AL438" s="54"/>
      <c r="AM438" s="54">
        <v>1</v>
      </c>
      <c r="AN438" s="14" t="s">
        <v>166</v>
      </c>
    </row>
    <row r="439" spans="1:40" ht="78.75" x14ac:dyDescent="0.25">
      <c r="A439" s="12" t="e">
        <v>#REF!</v>
      </c>
      <c r="B439" s="12" t="e">
        <v>#REF!</v>
      </c>
      <c r="C439" s="12" t="s">
        <v>1129</v>
      </c>
      <c r="D439" s="13" t="s">
        <v>988</v>
      </c>
      <c r="E439" s="13" t="s">
        <v>1011</v>
      </c>
      <c r="F439" s="13">
        <v>3659</v>
      </c>
      <c r="G439" s="13" t="s">
        <v>55</v>
      </c>
      <c r="H439" s="13" t="s">
        <v>300</v>
      </c>
      <c r="I439" s="12"/>
      <c r="J439" s="13">
        <v>689958121</v>
      </c>
      <c r="K439" s="13"/>
      <c r="L439" s="13" t="s">
        <v>301</v>
      </c>
      <c r="M439" s="14" t="s">
        <v>1073</v>
      </c>
      <c r="N439" s="13" t="s">
        <v>1068</v>
      </c>
      <c r="O439" s="12">
        <v>3</v>
      </c>
      <c r="P439" s="12" t="s">
        <v>174</v>
      </c>
      <c r="Q439" s="12" t="s">
        <v>868</v>
      </c>
      <c r="R439" s="12" t="s">
        <v>174</v>
      </c>
      <c r="S439" s="14" t="s">
        <v>166</v>
      </c>
      <c r="T439" s="12" t="s">
        <v>1110</v>
      </c>
      <c r="U439" s="14" t="s">
        <v>780</v>
      </c>
      <c r="V439" s="14"/>
      <c r="W439" s="14"/>
      <c r="X439" s="12"/>
      <c r="Y439" s="12"/>
      <c r="Z439" s="14"/>
      <c r="AA439" s="12"/>
      <c r="AB439" s="15"/>
      <c r="AC439" s="16">
        <v>0</v>
      </c>
      <c r="AD439" s="16">
        <v>0</v>
      </c>
      <c r="AE439" s="16">
        <v>0</v>
      </c>
      <c r="AF439" s="16">
        <v>1</v>
      </c>
      <c r="AG439" s="16">
        <v>0</v>
      </c>
      <c r="AH439" s="14" t="s">
        <v>166</v>
      </c>
      <c r="AI439" s="54"/>
      <c r="AJ439" s="54"/>
      <c r="AK439" s="54"/>
      <c r="AL439" s="54"/>
      <c r="AM439" s="54">
        <v>1</v>
      </c>
      <c r="AN439" s="14" t="s">
        <v>166</v>
      </c>
    </row>
    <row r="440" spans="1:40" ht="78.75" x14ac:dyDescent="0.25">
      <c r="A440" s="12" t="e">
        <v>#REF!</v>
      </c>
      <c r="B440" s="12" t="e">
        <v>#REF!</v>
      </c>
      <c r="C440" s="12" t="s">
        <v>1129</v>
      </c>
      <c r="D440" s="13" t="s">
        <v>988</v>
      </c>
      <c r="E440" s="13" t="s">
        <v>1011</v>
      </c>
      <c r="F440" s="13">
        <v>4814</v>
      </c>
      <c r="G440" s="13" t="s">
        <v>55</v>
      </c>
      <c r="H440" s="13" t="s">
        <v>296</v>
      </c>
      <c r="I440" s="12"/>
      <c r="J440" s="13">
        <v>681201035</v>
      </c>
      <c r="K440" s="13"/>
      <c r="L440" s="13" t="s">
        <v>297</v>
      </c>
      <c r="M440" s="14" t="s">
        <v>1073</v>
      </c>
      <c r="N440" s="13" t="s">
        <v>1068</v>
      </c>
      <c r="O440" s="12">
        <v>3</v>
      </c>
      <c r="P440" s="12" t="s">
        <v>174</v>
      </c>
      <c r="Q440" s="12" t="s">
        <v>868</v>
      </c>
      <c r="R440" s="12" t="s">
        <v>174</v>
      </c>
      <c r="S440" s="14" t="s">
        <v>166</v>
      </c>
      <c r="T440" s="12" t="s">
        <v>1110</v>
      </c>
      <c r="U440" s="14" t="s">
        <v>780</v>
      </c>
      <c r="V440" s="14"/>
      <c r="W440" s="14"/>
      <c r="X440" s="12"/>
      <c r="Y440" s="12"/>
      <c r="Z440" s="14"/>
      <c r="AA440" s="12"/>
      <c r="AB440" s="15"/>
      <c r="AC440" s="16">
        <v>0</v>
      </c>
      <c r="AD440" s="16">
        <v>0</v>
      </c>
      <c r="AE440" s="16">
        <v>0</v>
      </c>
      <c r="AF440" s="16">
        <v>0</v>
      </c>
      <c r="AG440" s="16">
        <v>1</v>
      </c>
      <c r="AH440" s="14" t="s">
        <v>166</v>
      </c>
      <c r="AI440" s="54"/>
      <c r="AJ440" s="54"/>
      <c r="AK440" s="54"/>
      <c r="AL440" s="54"/>
      <c r="AM440" s="54">
        <v>1</v>
      </c>
      <c r="AN440" s="14" t="s">
        <v>166</v>
      </c>
    </row>
    <row r="441" spans="1:40" ht="78.75" x14ac:dyDescent="0.25">
      <c r="A441" s="12" t="e">
        <v>#REF!</v>
      </c>
      <c r="B441" s="12" t="e">
        <v>#REF!</v>
      </c>
      <c r="C441" s="12" t="s">
        <v>1129</v>
      </c>
      <c r="D441" s="13" t="s">
        <v>988</v>
      </c>
      <c r="E441" s="13" t="s">
        <v>1011</v>
      </c>
      <c r="F441" s="13">
        <v>5034</v>
      </c>
      <c r="G441" s="13" t="s">
        <v>55</v>
      </c>
      <c r="H441" s="13" t="s">
        <v>823</v>
      </c>
      <c r="I441" s="12"/>
      <c r="J441" s="13">
        <v>669151172</v>
      </c>
      <c r="K441" s="13"/>
      <c r="L441" s="13" t="s">
        <v>824</v>
      </c>
      <c r="M441" s="14" t="s">
        <v>1073</v>
      </c>
      <c r="N441" s="13" t="s">
        <v>1068</v>
      </c>
      <c r="O441" s="12">
        <v>3</v>
      </c>
      <c r="P441" s="12" t="s">
        <v>174</v>
      </c>
      <c r="Q441" s="12" t="s">
        <v>868</v>
      </c>
      <c r="R441" s="12" t="s">
        <v>174</v>
      </c>
      <c r="S441" s="14" t="s">
        <v>166</v>
      </c>
      <c r="T441" s="12" t="s">
        <v>1110</v>
      </c>
      <c r="U441" s="14" t="s">
        <v>780</v>
      </c>
      <c r="V441" s="14"/>
      <c r="W441" s="14"/>
      <c r="X441" s="12"/>
      <c r="Y441" s="12"/>
      <c r="Z441" s="14"/>
      <c r="AA441" s="12"/>
      <c r="AB441" s="15"/>
      <c r="AC441" s="16">
        <v>0</v>
      </c>
      <c r="AD441" s="16">
        <v>0</v>
      </c>
      <c r="AE441" s="16">
        <v>0</v>
      </c>
      <c r="AF441" s="16">
        <v>0</v>
      </c>
      <c r="AG441" s="16">
        <v>1</v>
      </c>
      <c r="AH441" s="14" t="s">
        <v>166</v>
      </c>
      <c r="AI441" s="54"/>
      <c r="AJ441" s="54"/>
      <c r="AK441" s="54"/>
      <c r="AL441" s="54"/>
      <c r="AM441" s="54">
        <v>1</v>
      </c>
      <c r="AN441" s="14" t="s">
        <v>166</v>
      </c>
    </row>
    <row r="442" spans="1:40" ht="78.75" x14ac:dyDescent="0.25">
      <c r="A442" s="12" t="e">
        <v>#REF!</v>
      </c>
      <c r="B442" s="12" t="e">
        <v>#REF!</v>
      </c>
      <c r="C442" s="12" t="s">
        <v>1129</v>
      </c>
      <c r="D442" s="13" t="s">
        <v>988</v>
      </c>
      <c r="E442" s="13" t="s">
        <v>1011</v>
      </c>
      <c r="F442" s="13">
        <v>5923</v>
      </c>
      <c r="G442" s="13" t="s">
        <v>55</v>
      </c>
      <c r="H442" s="13" t="s">
        <v>900</v>
      </c>
      <c r="I442" s="12"/>
      <c r="J442" s="13">
        <v>686174859</v>
      </c>
      <c r="K442" s="13"/>
      <c r="L442" s="13" t="s">
        <v>901</v>
      </c>
      <c r="M442" s="14" t="s">
        <v>1073</v>
      </c>
      <c r="N442" s="13" t="s">
        <v>1068</v>
      </c>
      <c r="O442" s="12">
        <v>3</v>
      </c>
      <c r="P442" s="12" t="s">
        <v>174</v>
      </c>
      <c r="Q442" s="12" t="s">
        <v>868</v>
      </c>
      <c r="R442" s="12" t="s">
        <v>174</v>
      </c>
      <c r="S442" s="14" t="s">
        <v>166</v>
      </c>
      <c r="T442" s="12" t="s">
        <v>1110</v>
      </c>
      <c r="U442" s="14" t="s">
        <v>780</v>
      </c>
      <c r="V442" s="14"/>
      <c r="W442" s="14"/>
      <c r="X442" s="12"/>
      <c r="Y442" s="12"/>
      <c r="Z442" s="14"/>
      <c r="AA442" s="12"/>
      <c r="AB442" s="15"/>
      <c r="AC442" s="16">
        <v>0</v>
      </c>
      <c r="AD442" s="16">
        <v>0</v>
      </c>
      <c r="AE442" s="16">
        <v>0</v>
      </c>
      <c r="AF442" s="16">
        <v>0</v>
      </c>
      <c r="AG442" s="16">
        <v>1</v>
      </c>
      <c r="AH442" s="14" t="s">
        <v>166</v>
      </c>
      <c r="AI442" s="54"/>
      <c r="AJ442" s="54"/>
      <c r="AK442" s="54"/>
      <c r="AL442" s="54"/>
      <c r="AM442" s="54">
        <v>1</v>
      </c>
      <c r="AN442" s="14" t="s">
        <v>166</v>
      </c>
    </row>
    <row r="443" spans="1:40" ht="47.25" x14ac:dyDescent="0.25">
      <c r="A443" s="12" t="e">
        <v>#REF!</v>
      </c>
      <c r="B443" s="12" t="e">
        <v>#REF!</v>
      </c>
      <c r="C443" s="12" t="s">
        <v>1129</v>
      </c>
      <c r="D443" s="13" t="s">
        <v>1005</v>
      </c>
      <c r="E443" s="13" t="s">
        <v>1012</v>
      </c>
      <c r="F443" s="13">
        <v>2533</v>
      </c>
      <c r="G443" s="13" t="s">
        <v>40</v>
      </c>
      <c r="H443" s="13" t="s">
        <v>286</v>
      </c>
      <c r="I443" s="12"/>
      <c r="J443" s="13">
        <v>619500461</v>
      </c>
      <c r="K443" s="13"/>
      <c r="L443" s="13" t="s">
        <v>287</v>
      </c>
      <c r="M443" s="14" t="s">
        <v>1073</v>
      </c>
      <c r="N443" s="13" t="s">
        <v>1068</v>
      </c>
      <c r="O443" s="12">
        <v>3</v>
      </c>
      <c r="P443" s="12" t="s">
        <v>174</v>
      </c>
      <c r="Q443" s="12" t="s">
        <v>174</v>
      </c>
      <c r="R443" s="12" t="s">
        <v>867</v>
      </c>
      <c r="S443" s="14" t="s">
        <v>166</v>
      </c>
      <c r="T443" s="12" t="s">
        <v>1110</v>
      </c>
      <c r="U443" s="14" t="s">
        <v>780</v>
      </c>
      <c r="V443" s="14"/>
      <c r="W443" s="14"/>
      <c r="X443" s="12"/>
      <c r="Y443" s="12"/>
      <c r="Z443" s="14"/>
      <c r="AA443" s="12"/>
      <c r="AB443" s="15"/>
      <c r="AC443" s="16">
        <v>0</v>
      </c>
      <c r="AD443" s="16">
        <v>0</v>
      </c>
      <c r="AE443" s="16">
        <v>1</v>
      </c>
      <c r="AF443" s="16">
        <v>0</v>
      </c>
      <c r="AG443" s="16">
        <v>0</v>
      </c>
      <c r="AH443" s="14" t="s">
        <v>166</v>
      </c>
      <c r="AI443" s="54">
        <v>0</v>
      </c>
      <c r="AJ443" s="54">
        <v>0</v>
      </c>
      <c r="AK443" s="54">
        <v>1</v>
      </c>
      <c r="AL443" s="54">
        <v>1</v>
      </c>
      <c r="AM443" s="54">
        <v>1</v>
      </c>
      <c r="AN443" s="14" t="s">
        <v>166</v>
      </c>
    </row>
    <row r="444" spans="1:40" ht="47.25" x14ac:dyDescent="0.25">
      <c r="A444" s="12" t="e">
        <v>#REF!</v>
      </c>
      <c r="B444" s="12" t="e">
        <v>#REF!</v>
      </c>
      <c r="C444" s="12" t="s">
        <v>1129</v>
      </c>
      <c r="D444" s="13" t="s">
        <v>987</v>
      </c>
      <c r="E444" s="13" t="s">
        <v>1013</v>
      </c>
      <c r="F444" s="13">
        <v>5954</v>
      </c>
      <c r="G444" s="13" t="s">
        <v>45</v>
      </c>
      <c r="H444" s="13" t="s">
        <v>906</v>
      </c>
      <c r="I444" s="12"/>
      <c r="J444" s="13">
        <v>649003092</v>
      </c>
      <c r="K444" s="13"/>
      <c r="L444" s="13" t="s">
        <v>907</v>
      </c>
      <c r="M444" s="14" t="s">
        <v>1073</v>
      </c>
      <c r="N444" s="13" t="s">
        <v>1068</v>
      </c>
      <c r="O444" s="12">
        <v>3</v>
      </c>
      <c r="P444" s="12" t="s">
        <v>174</v>
      </c>
      <c r="Q444" s="12" t="s">
        <v>868</v>
      </c>
      <c r="R444" s="12" t="s">
        <v>174</v>
      </c>
      <c r="S444" s="14" t="s">
        <v>166</v>
      </c>
      <c r="T444" s="12" t="s">
        <v>1110</v>
      </c>
      <c r="U444" s="14" t="s">
        <v>780</v>
      </c>
      <c r="V444" s="14"/>
      <c r="W444" s="14"/>
      <c r="X444" s="12"/>
      <c r="Y444" s="12"/>
      <c r="Z444" s="14"/>
      <c r="AA444" s="12"/>
      <c r="AB444" s="15"/>
      <c r="AC444" s="16">
        <v>0</v>
      </c>
      <c r="AD444" s="16">
        <v>0</v>
      </c>
      <c r="AE444" s="16">
        <v>0</v>
      </c>
      <c r="AF444" s="16">
        <v>0</v>
      </c>
      <c r="AG444" s="16">
        <v>1</v>
      </c>
      <c r="AH444" s="14" t="s">
        <v>166</v>
      </c>
      <c r="AI444" s="54"/>
      <c r="AJ444" s="54"/>
      <c r="AK444" s="54"/>
      <c r="AL444" s="54"/>
      <c r="AM444" s="54">
        <v>1</v>
      </c>
      <c r="AN444" s="14" t="s">
        <v>166</v>
      </c>
    </row>
    <row r="445" spans="1:40" ht="63" x14ac:dyDescent="0.25">
      <c r="A445" s="12" t="e">
        <v>#REF!</v>
      </c>
      <c r="B445" s="12" t="e">
        <v>#REF!</v>
      </c>
      <c r="C445" s="12" t="s">
        <v>1129</v>
      </c>
      <c r="D445" s="13" t="s">
        <v>1089</v>
      </c>
      <c r="E445" s="13" t="s">
        <v>1018</v>
      </c>
      <c r="F445" s="13">
        <v>5376</v>
      </c>
      <c r="G445" s="13" t="s">
        <v>35</v>
      </c>
      <c r="H445" s="13" t="s">
        <v>904</v>
      </c>
      <c r="I445" s="12"/>
      <c r="J445" s="13">
        <v>681203812</v>
      </c>
      <c r="K445" s="13"/>
      <c r="L445" s="13" t="s">
        <v>905</v>
      </c>
      <c r="M445" s="14" t="s">
        <v>161</v>
      </c>
      <c r="N445" s="13" t="s">
        <v>160</v>
      </c>
      <c r="O445" s="12">
        <v>4</v>
      </c>
      <c r="P445" s="12" t="s">
        <v>174</v>
      </c>
      <c r="Q445" s="12" t="s">
        <v>868</v>
      </c>
      <c r="R445" s="12" t="s">
        <v>174</v>
      </c>
      <c r="S445" s="14" t="s">
        <v>166</v>
      </c>
      <c r="T445" s="12" t="s">
        <v>1110</v>
      </c>
      <c r="U445" s="14" t="s">
        <v>780</v>
      </c>
      <c r="V445" s="14"/>
      <c r="W445" s="14"/>
      <c r="X445" s="12"/>
      <c r="Y445" s="12"/>
      <c r="Z445" s="14"/>
      <c r="AA445" s="12"/>
      <c r="AB445" s="15"/>
      <c r="AC445" s="16">
        <v>0</v>
      </c>
      <c r="AD445" s="16">
        <v>0</v>
      </c>
      <c r="AE445" s="16">
        <v>0</v>
      </c>
      <c r="AF445" s="16">
        <v>0</v>
      </c>
      <c r="AG445" s="16">
        <v>1</v>
      </c>
      <c r="AH445" s="14" t="s">
        <v>166</v>
      </c>
      <c r="AI445" s="54">
        <v>0</v>
      </c>
      <c r="AJ445" s="54">
        <v>0</v>
      </c>
      <c r="AK445" s="54">
        <v>0</v>
      </c>
      <c r="AL445" s="54">
        <v>0</v>
      </c>
      <c r="AM445" s="54">
        <v>1</v>
      </c>
      <c r="AN445" s="14" t="s">
        <v>166</v>
      </c>
    </row>
    <row r="446" spans="1:40" ht="63" x14ac:dyDescent="0.25">
      <c r="A446" s="12" t="e">
        <v>#REF!</v>
      </c>
      <c r="B446" s="12" t="e">
        <v>#REF!</v>
      </c>
      <c r="C446" s="12" t="s">
        <v>1129</v>
      </c>
      <c r="D446" s="13" t="s">
        <v>1088</v>
      </c>
      <c r="E446" s="13" t="s">
        <v>1018</v>
      </c>
      <c r="F446" s="13">
        <v>5181</v>
      </c>
      <c r="G446" s="13" t="s">
        <v>35</v>
      </c>
      <c r="H446" s="13" t="s">
        <v>826</v>
      </c>
      <c r="I446" s="12"/>
      <c r="J446" s="13">
        <v>660180167</v>
      </c>
      <c r="K446" s="13"/>
      <c r="L446" s="13" t="s">
        <v>827</v>
      </c>
      <c r="M446" s="14" t="s">
        <v>161</v>
      </c>
      <c r="N446" s="13" t="s">
        <v>160</v>
      </c>
      <c r="O446" s="12">
        <v>4</v>
      </c>
      <c r="P446" s="12" t="s">
        <v>174</v>
      </c>
      <c r="Q446" s="12" t="s">
        <v>868</v>
      </c>
      <c r="R446" s="12" t="s">
        <v>174</v>
      </c>
      <c r="S446" s="14" t="s">
        <v>166</v>
      </c>
      <c r="T446" s="12" t="s">
        <v>1110</v>
      </c>
      <c r="U446" s="14" t="s">
        <v>780</v>
      </c>
      <c r="V446" s="14"/>
      <c r="W446" s="14"/>
      <c r="X446" s="12"/>
      <c r="Y446" s="12"/>
      <c r="Z446" s="14"/>
      <c r="AA446" s="12"/>
      <c r="AB446" s="15"/>
      <c r="AC446" s="16">
        <v>0</v>
      </c>
      <c r="AD446" s="16">
        <v>0</v>
      </c>
      <c r="AE446" s="16">
        <v>0</v>
      </c>
      <c r="AF446" s="16">
        <v>0</v>
      </c>
      <c r="AG446" s="16">
        <v>1</v>
      </c>
      <c r="AH446" s="14" t="s">
        <v>166</v>
      </c>
      <c r="AI446" s="54">
        <v>0</v>
      </c>
      <c r="AJ446" s="54">
        <v>0</v>
      </c>
      <c r="AK446" s="54">
        <v>0</v>
      </c>
      <c r="AL446" s="54">
        <v>0</v>
      </c>
      <c r="AM446" s="54">
        <v>1</v>
      </c>
      <c r="AN446" s="14" t="s">
        <v>166</v>
      </c>
    </row>
    <row r="447" spans="1:40" ht="78.75" x14ac:dyDescent="0.25">
      <c r="A447" s="12" t="e">
        <v>#REF!</v>
      </c>
      <c r="B447" s="12" t="e">
        <v>#REF!</v>
      </c>
      <c r="C447" s="12" t="s">
        <v>1129</v>
      </c>
      <c r="D447" s="13" t="s">
        <v>988</v>
      </c>
      <c r="E447" s="13" t="s">
        <v>1011</v>
      </c>
      <c r="F447" s="13">
        <v>3565</v>
      </c>
      <c r="G447" s="13" t="s">
        <v>35</v>
      </c>
      <c r="H447" s="13" t="s">
        <v>298</v>
      </c>
      <c r="I447" s="12"/>
      <c r="J447" s="13">
        <v>689426605</v>
      </c>
      <c r="K447" s="13"/>
      <c r="L447" s="13" t="s">
        <v>299</v>
      </c>
      <c r="M447" s="14" t="s">
        <v>1073</v>
      </c>
      <c r="N447" s="13" t="s">
        <v>1068</v>
      </c>
      <c r="O447" s="12">
        <v>3</v>
      </c>
      <c r="P447" s="12" t="s">
        <v>174</v>
      </c>
      <c r="Q447" s="12" t="s">
        <v>868</v>
      </c>
      <c r="R447" s="12" t="s">
        <v>174</v>
      </c>
      <c r="S447" s="14" t="s">
        <v>166</v>
      </c>
      <c r="T447" s="12" t="s">
        <v>1110</v>
      </c>
      <c r="U447" s="14" t="s">
        <v>780</v>
      </c>
      <c r="V447" s="14"/>
      <c r="W447" s="14"/>
      <c r="X447" s="12"/>
      <c r="Y447" s="12"/>
      <c r="Z447" s="14"/>
      <c r="AA447" s="12"/>
      <c r="AB447" s="15"/>
      <c r="AC447" s="16">
        <v>0</v>
      </c>
      <c r="AD447" s="16">
        <v>0</v>
      </c>
      <c r="AE447" s="16">
        <v>0</v>
      </c>
      <c r="AF447" s="16">
        <v>1</v>
      </c>
      <c r="AG447" s="16">
        <v>0</v>
      </c>
      <c r="AH447" s="14" t="s">
        <v>166</v>
      </c>
      <c r="AI447" s="54"/>
      <c r="AJ447" s="54"/>
      <c r="AK447" s="54"/>
      <c r="AL447" s="54"/>
      <c r="AM447" s="54">
        <v>1</v>
      </c>
      <c r="AN447" s="14" t="s">
        <v>166</v>
      </c>
    </row>
    <row r="448" spans="1:40" ht="78.75" x14ac:dyDescent="0.25">
      <c r="A448" s="12" t="e">
        <v>#REF!</v>
      </c>
      <c r="B448" s="12" t="e">
        <v>#REF!</v>
      </c>
      <c r="C448" s="12" t="s">
        <v>1129</v>
      </c>
      <c r="D448" s="13" t="s">
        <v>988</v>
      </c>
      <c r="E448" s="13" t="s">
        <v>1011</v>
      </c>
      <c r="F448" s="13">
        <v>6708</v>
      </c>
      <c r="G448" s="13" t="s">
        <v>35</v>
      </c>
      <c r="H448" s="13" t="s">
        <v>1043</v>
      </c>
      <c r="I448" s="12"/>
      <c r="J448" s="13">
        <v>610184649</v>
      </c>
      <c r="K448" s="13"/>
      <c r="L448" s="13" t="s">
        <v>1065</v>
      </c>
      <c r="M448" s="14" t="s">
        <v>1073</v>
      </c>
      <c r="N448" s="13" t="s">
        <v>1068</v>
      </c>
      <c r="O448" s="12">
        <v>3</v>
      </c>
      <c r="P448" s="12" t="s">
        <v>174</v>
      </c>
      <c r="Q448" s="12" t="s">
        <v>868</v>
      </c>
      <c r="R448" s="12" t="s">
        <v>174</v>
      </c>
      <c r="S448" s="14" t="s">
        <v>166</v>
      </c>
      <c r="T448" s="12" t="s">
        <v>1199</v>
      </c>
      <c r="U448" s="14" t="s">
        <v>780</v>
      </c>
      <c r="V448" s="14"/>
      <c r="W448" s="14"/>
      <c r="X448" s="12"/>
      <c r="Y448" s="12"/>
      <c r="Z448" s="14"/>
      <c r="AA448" s="12"/>
      <c r="AB448" s="15"/>
      <c r="AC448" s="16">
        <v>0</v>
      </c>
      <c r="AD448" s="16">
        <v>0</v>
      </c>
      <c r="AE448" s="16">
        <v>0</v>
      </c>
      <c r="AF448" s="16">
        <v>0</v>
      </c>
      <c r="AG448" s="16">
        <v>0</v>
      </c>
      <c r="AH448" s="14" t="s">
        <v>174</v>
      </c>
      <c r="AI448" s="54"/>
      <c r="AJ448" s="54"/>
      <c r="AK448" s="54"/>
      <c r="AL448" s="54"/>
      <c r="AM448" s="54">
        <v>1</v>
      </c>
      <c r="AN448" s="14" t="s">
        <v>166</v>
      </c>
    </row>
    <row r="449" spans="1:40" ht="78.75" x14ac:dyDescent="0.25">
      <c r="A449" s="12" t="e">
        <v>#REF!</v>
      </c>
      <c r="B449" s="12" t="e">
        <v>#REF!</v>
      </c>
      <c r="C449" s="12" t="s">
        <v>1129</v>
      </c>
      <c r="D449" s="13" t="s">
        <v>988</v>
      </c>
      <c r="E449" s="13" t="s">
        <v>1011</v>
      </c>
      <c r="F449" s="13">
        <v>6814</v>
      </c>
      <c r="G449" s="13" t="s">
        <v>35</v>
      </c>
      <c r="H449" s="13" t="s">
        <v>1042</v>
      </c>
      <c r="I449" s="12"/>
      <c r="J449" s="13">
        <v>627616245</v>
      </c>
      <c r="K449" s="13"/>
      <c r="L449" s="13" t="s">
        <v>1064</v>
      </c>
      <c r="M449" s="14" t="s">
        <v>1073</v>
      </c>
      <c r="N449" s="13" t="s">
        <v>1068</v>
      </c>
      <c r="O449" s="12">
        <v>3</v>
      </c>
      <c r="P449" s="12" t="s">
        <v>174</v>
      </c>
      <c r="Q449" s="12" t="s">
        <v>868</v>
      </c>
      <c r="R449" s="12" t="s">
        <v>174</v>
      </c>
      <c r="S449" s="14" t="s">
        <v>166</v>
      </c>
      <c r="T449" s="12" t="s">
        <v>1199</v>
      </c>
      <c r="U449" s="14" t="s">
        <v>780</v>
      </c>
      <c r="V449" s="14"/>
      <c r="W449" s="14"/>
      <c r="X449" s="12"/>
      <c r="Y449" s="12"/>
      <c r="Z449" s="14"/>
      <c r="AA449" s="12"/>
      <c r="AB449" s="15"/>
      <c r="AC449" s="16">
        <v>0</v>
      </c>
      <c r="AD449" s="16">
        <v>0</v>
      </c>
      <c r="AE449" s="16">
        <v>0</v>
      </c>
      <c r="AF449" s="16">
        <v>0</v>
      </c>
      <c r="AG449" s="16">
        <v>1</v>
      </c>
      <c r="AH449" s="14" t="s">
        <v>166</v>
      </c>
      <c r="AI449" s="54"/>
      <c r="AJ449" s="54"/>
      <c r="AK449" s="54"/>
      <c r="AL449" s="54"/>
      <c r="AM449" s="54">
        <v>1</v>
      </c>
      <c r="AN449" s="14" t="s">
        <v>166</v>
      </c>
    </row>
    <row r="450" spans="1:40" ht="63" x14ac:dyDescent="0.25">
      <c r="A450" s="12" t="e">
        <v>#REF!</v>
      </c>
      <c r="B450" s="12" t="e">
        <v>#REF!</v>
      </c>
      <c r="C450" s="12" t="s">
        <v>1129</v>
      </c>
      <c r="D450" s="13" t="s">
        <v>1006</v>
      </c>
      <c r="E450" s="13" t="s">
        <v>1018</v>
      </c>
      <c r="F450" s="13" t="s">
        <v>47</v>
      </c>
      <c r="G450" s="13" t="s">
        <v>48</v>
      </c>
      <c r="H450" s="13" t="s">
        <v>1022</v>
      </c>
      <c r="I450" s="12"/>
      <c r="J450" s="13">
        <v>676423484</v>
      </c>
      <c r="K450" s="13"/>
      <c r="L450" s="13" t="s">
        <v>788</v>
      </c>
      <c r="M450" s="14" t="s">
        <v>161</v>
      </c>
      <c r="N450" s="13" t="s">
        <v>160</v>
      </c>
      <c r="O450" s="12"/>
      <c r="P450" s="12" t="s">
        <v>1184</v>
      </c>
      <c r="Q450" s="12" t="s">
        <v>1184</v>
      </c>
      <c r="R450" s="12" t="s">
        <v>1184</v>
      </c>
      <c r="S450" s="14" t="s">
        <v>166</v>
      </c>
      <c r="T450" s="12" t="s">
        <v>845</v>
      </c>
      <c r="U450" s="14" t="s">
        <v>780</v>
      </c>
      <c r="V450" s="14"/>
      <c r="W450" s="14"/>
      <c r="X450" s="12"/>
      <c r="Y450" s="12"/>
      <c r="Z450" s="14"/>
      <c r="AA450" s="12"/>
      <c r="AB450" s="15"/>
      <c r="AC450" s="16" t="s">
        <v>111</v>
      </c>
      <c r="AD450" s="16" t="s">
        <v>111</v>
      </c>
      <c r="AE450" s="16" t="s">
        <v>111</v>
      </c>
      <c r="AF450" s="16" t="s">
        <v>111</v>
      </c>
      <c r="AG450" s="16" t="s">
        <v>111</v>
      </c>
      <c r="AH450" s="14" t="s">
        <v>1149</v>
      </c>
      <c r="AI450" s="54">
        <v>0</v>
      </c>
      <c r="AJ450" s="54">
        <v>0</v>
      </c>
      <c r="AK450" s="54">
        <v>0</v>
      </c>
      <c r="AL450" s="54">
        <v>0</v>
      </c>
      <c r="AM450" s="54">
        <v>0</v>
      </c>
      <c r="AN450" s="14" t="s">
        <v>1149</v>
      </c>
    </row>
    <row r="451" spans="1:40" ht="63" x14ac:dyDescent="0.25">
      <c r="A451" s="12" t="e">
        <v>#REF!</v>
      </c>
      <c r="B451" s="12" t="e">
        <v>#REF!</v>
      </c>
      <c r="C451" s="12" t="s">
        <v>1129</v>
      </c>
      <c r="D451" s="13" t="s">
        <v>986</v>
      </c>
      <c r="E451" s="13" t="s">
        <v>1018</v>
      </c>
      <c r="F451" s="13" t="s">
        <v>47</v>
      </c>
      <c r="G451" s="13" t="s">
        <v>48</v>
      </c>
      <c r="H451" s="13" t="s">
        <v>797</v>
      </c>
      <c r="I451" s="12"/>
      <c r="J451" s="13"/>
      <c r="K451" s="13"/>
      <c r="L451" s="13" t="s">
        <v>793</v>
      </c>
      <c r="M451" s="14" t="s">
        <v>161</v>
      </c>
      <c r="N451" s="13" t="s">
        <v>160</v>
      </c>
      <c r="O451" s="12">
        <v>4</v>
      </c>
      <c r="P451" s="12" t="s">
        <v>1184</v>
      </c>
      <c r="Q451" s="12" t="s">
        <v>1184</v>
      </c>
      <c r="R451" s="12" t="s">
        <v>1184</v>
      </c>
      <c r="S451" s="14" t="s">
        <v>174</v>
      </c>
      <c r="T451" s="12" t="s">
        <v>845</v>
      </c>
      <c r="U451" s="14" t="s">
        <v>780</v>
      </c>
      <c r="V451" s="14"/>
      <c r="W451" s="14"/>
      <c r="X451" s="12"/>
      <c r="Y451" s="12"/>
      <c r="Z451" s="14"/>
      <c r="AA451" s="12"/>
      <c r="AB451" s="15"/>
      <c r="AC451" s="16" t="s">
        <v>111</v>
      </c>
      <c r="AD451" s="16" t="s">
        <v>111</v>
      </c>
      <c r="AE451" s="16" t="s">
        <v>111</v>
      </c>
      <c r="AF451" s="16" t="s">
        <v>111</v>
      </c>
      <c r="AG451" s="16" t="s">
        <v>111</v>
      </c>
      <c r="AH451" s="14" t="s">
        <v>1149</v>
      </c>
      <c r="AI451" s="54">
        <v>0</v>
      </c>
      <c r="AJ451" s="54">
        <v>0</v>
      </c>
      <c r="AK451" s="54">
        <v>0</v>
      </c>
      <c r="AL451" s="54">
        <v>0</v>
      </c>
      <c r="AM451" s="54">
        <v>0</v>
      </c>
      <c r="AN451" s="14" t="s">
        <v>1149</v>
      </c>
    </row>
    <row r="452" spans="1:40" ht="63" x14ac:dyDescent="0.25">
      <c r="A452" s="12" t="e">
        <v>#REF!</v>
      </c>
      <c r="B452" s="12" t="e">
        <v>#REF!</v>
      </c>
      <c r="C452" s="12" t="s">
        <v>1129</v>
      </c>
      <c r="D452" s="13" t="s">
        <v>986</v>
      </c>
      <c r="E452" s="13" t="s">
        <v>1018</v>
      </c>
      <c r="F452" s="13" t="s">
        <v>47</v>
      </c>
      <c r="G452" s="13" t="s">
        <v>48</v>
      </c>
      <c r="H452" s="13" t="s">
        <v>798</v>
      </c>
      <c r="I452" s="12"/>
      <c r="J452" s="13">
        <v>689954195</v>
      </c>
      <c r="K452" s="13"/>
      <c r="L452" s="13" t="s">
        <v>796</v>
      </c>
      <c r="M452" s="14" t="s">
        <v>161</v>
      </c>
      <c r="N452" s="13" t="s">
        <v>160</v>
      </c>
      <c r="O452" s="12">
        <v>4</v>
      </c>
      <c r="P452" s="12" t="s">
        <v>1184</v>
      </c>
      <c r="Q452" s="12" t="s">
        <v>1184</v>
      </c>
      <c r="R452" s="12" t="s">
        <v>1184</v>
      </c>
      <c r="S452" s="14" t="s">
        <v>166</v>
      </c>
      <c r="T452" s="12" t="s">
        <v>845</v>
      </c>
      <c r="U452" s="14" t="s">
        <v>780</v>
      </c>
      <c r="V452" s="14"/>
      <c r="W452" s="14"/>
      <c r="X452" s="12"/>
      <c r="Y452" s="12"/>
      <c r="Z452" s="14"/>
      <c r="AA452" s="12"/>
      <c r="AB452" s="15"/>
      <c r="AC452" s="16" t="s">
        <v>111</v>
      </c>
      <c r="AD452" s="16" t="s">
        <v>111</v>
      </c>
      <c r="AE452" s="16" t="s">
        <v>111</v>
      </c>
      <c r="AF452" s="16" t="s">
        <v>111</v>
      </c>
      <c r="AG452" s="16" t="s">
        <v>111</v>
      </c>
      <c r="AH452" s="14" t="s">
        <v>1149</v>
      </c>
      <c r="AI452" s="54">
        <v>0</v>
      </c>
      <c r="AJ452" s="54">
        <v>0</v>
      </c>
      <c r="AK452" s="54">
        <v>0</v>
      </c>
      <c r="AL452" s="54">
        <v>0</v>
      </c>
      <c r="AM452" s="54">
        <v>0</v>
      </c>
      <c r="AN452" s="14" t="s">
        <v>1149</v>
      </c>
    </row>
    <row r="453" spans="1:40" ht="31.5" x14ac:dyDescent="0.25">
      <c r="A453" s="12" t="e">
        <v>#REF!</v>
      </c>
      <c r="B453" s="12" t="e">
        <v>#REF!</v>
      </c>
      <c r="C453" s="12" t="s">
        <v>1129</v>
      </c>
      <c r="D453" s="13" t="s">
        <v>1002</v>
      </c>
      <c r="E453" s="13" t="s">
        <v>1018</v>
      </c>
      <c r="F453" s="13" t="s">
        <v>47</v>
      </c>
      <c r="G453" s="13" t="s">
        <v>48</v>
      </c>
      <c r="H453" s="13" t="s">
        <v>1003</v>
      </c>
      <c r="I453" s="12"/>
      <c r="J453" s="13">
        <v>611472712</v>
      </c>
      <c r="K453" s="13"/>
      <c r="L453" s="13" t="s">
        <v>1004</v>
      </c>
      <c r="M453" s="14"/>
      <c r="N453" s="13"/>
      <c r="O453" s="12"/>
      <c r="P453" s="12" t="s">
        <v>1184</v>
      </c>
      <c r="Q453" s="12" t="s">
        <v>1184</v>
      </c>
      <c r="R453" s="12" t="s">
        <v>1184</v>
      </c>
      <c r="S453" s="14"/>
      <c r="T453" s="12"/>
      <c r="U453" s="14"/>
      <c r="V453" s="14"/>
      <c r="W453" s="14"/>
      <c r="X453" s="12"/>
      <c r="Y453" s="12"/>
      <c r="Z453" s="14"/>
      <c r="AA453" s="12"/>
      <c r="AB453" s="15"/>
      <c r="AC453" s="16"/>
      <c r="AD453" s="16"/>
      <c r="AE453" s="16"/>
      <c r="AF453" s="16"/>
      <c r="AG453" s="16" t="s">
        <v>111</v>
      </c>
      <c r="AH453" s="14" t="s">
        <v>1149</v>
      </c>
      <c r="AI453" s="54"/>
      <c r="AJ453" s="54"/>
      <c r="AK453" s="54"/>
      <c r="AL453" s="54"/>
      <c r="AM453" s="54">
        <v>0</v>
      </c>
      <c r="AN453" s="14" t="s">
        <v>1149</v>
      </c>
    </row>
    <row r="454" spans="1:40" ht="31.5" x14ac:dyDescent="0.25">
      <c r="A454" s="12" t="e">
        <v>#REF!</v>
      </c>
      <c r="B454" s="12" t="e">
        <v>#REF!</v>
      </c>
      <c r="C454" s="12" t="s">
        <v>1129</v>
      </c>
      <c r="D454" s="13" t="s">
        <v>986</v>
      </c>
      <c r="E454" s="13" t="s">
        <v>110</v>
      </c>
      <c r="F454" s="13" t="s">
        <v>47</v>
      </c>
      <c r="G454" s="13" t="s">
        <v>48</v>
      </c>
      <c r="H454" s="13" t="s">
        <v>791</v>
      </c>
      <c r="I454" s="12"/>
      <c r="J454" s="13">
        <v>902195220</v>
      </c>
      <c r="K454" s="13"/>
      <c r="L454" s="13" t="s">
        <v>789</v>
      </c>
      <c r="M454" s="14"/>
      <c r="N454" s="13"/>
      <c r="O454" s="12"/>
      <c r="P454" s="12" t="s">
        <v>1184</v>
      </c>
      <c r="Q454" s="12" t="s">
        <v>1184</v>
      </c>
      <c r="R454" s="12" t="s">
        <v>1184</v>
      </c>
      <c r="S454" s="14"/>
      <c r="T454" s="12"/>
      <c r="U454" s="14"/>
      <c r="V454" s="14"/>
      <c r="W454" s="14"/>
      <c r="X454" s="12"/>
      <c r="Y454" s="12"/>
      <c r="Z454" s="14"/>
      <c r="AA454" s="12"/>
      <c r="AB454" s="15"/>
      <c r="AC454" s="16" t="s">
        <v>111</v>
      </c>
      <c r="AD454" s="16" t="s">
        <v>111</v>
      </c>
      <c r="AE454" s="16" t="s">
        <v>111</v>
      </c>
      <c r="AF454" s="16" t="s">
        <v>111</v>
      </c>
      <c r="AG454" s="16" t="s">
        <v>111</v>
      </c>
      <c r="AH454" s="14" t="s">
        <v>1149</v>
      </c>
      <c r="AI454" s="54">
        <v>0</v>
      </c>
      <c r="AJ454" s="54">
        <v>0</v>
      </c>
      <c r="AK454" s="54">
        <v>0</v>
      </c>
      <c r="AL454" s="54">
        <v>0</v>
      </c>
      <c r="AM454" s="54">
        <v>0</v>
      </c>
      <c r="AN454" s="14" t="s">
        <v>1149</v>
      </c>
    </row>
    <row r="455" spans="1:40" ht="31.5" x14ac:dyDescent="0.25">
      <c r="A455" s="12" t="e">
        <v>#REF!</v>
      </c>
      <c r="B455" s="12" t="e">
        <v>#REF!</v>
      </c>
      <c r="C455" s="12" t="s">
        <v>1129</v>
      </c>
      <c r="D455" s="13" t="s">
        <v>986</v>
      </c>
      <c r="E455" s="13" t="s">
        <v>110</v>
      </c>
      <c r="F455" s="13" t="s">
        <v>47</v>
      </c>
      <c r="G455" s="13" t="s">
        <v>48</v>
      </c>
      <c r="H455" s="13" t="s">
        <v>792</v>
      </c>
      <c r="I455" s="12"/>
      <c r="J455" s="13"/>
      <c r="K455" s="13"/>
      <c r="L455" s="13" t="s">
        <v>790</v>
      </c>
      <c r="M455" s="14"/>
      <c r="N455" s="13"/>
      <c r="O455" s="12"/>
      <c r="P455" s="12" t="s">
        <v>1184</v>
      </c>
      <c r="Q455" s="12" t="s">
        <v>1184</v>
      </c>
      <c r="R455" s="12" t="s">
        <v>1184</v>
      </c>
      <c r="S455" s="14"/>
      <c r="T455" s="12"/>
      <c r="U455" s="14"/>
      <c r="V455" s="14"/>
      <c r="W455" s="14"/>
      <c r="X455" s="12"/>
      <c r="Y455" s="12"/>
      <c r="Z455" s="14"/>
      <c r="AA455" s="12"/>
      <c r="AB455" s="15"/>
      <c r="AC455" s="16"/>
      <c r="AD455" s="16"/>
      <c r="AE455" s="16"/>
      <c r="AF455" s="16"/>
      <c r="AG455" s="16" t="s">
        <v>111</v>
      </c>
      <c r="AH455" s="14" t="s">
        <v>1149</v>
      </c>
      <c r="AI455" s="54">
        <v>0</v>
      </c>
      <c r="AJ455" s="54">
        <v>0</v>
      </c>
      <c r="AK455" s="54">
        <v>0</v>
      </c>
      <c r="AL455" s="54">
        <v>0</v>
      </c>
      <c r="AM455" s="54">
        <v>0</v>
      </c>
      <c r="AN455" s="14" t="s">
        <v>1149</v>
      </c>
    </row>
    <row r="456" spans="1:40" ht="31.5" x14ac:dyDescent="0.25">
      <c r="A456" s="12" t="e">
        <v>#REF!</v>
      </c>
      <c r="B456" s="12" t="e">
        <v>#REF!</v>
      </c>
      <c r="C456" s="12" t="s">
        <v>1129</v>
      </c>
      <c r="D456" s="13" t="s">
        <v>986</v>
      </c>
      <c r="E456" s="13" t="s">
        <v>110</v>
      </c>
      <c r="F456" s="13" t="s">
        <v>47</v>
      </c>
      <c r="G456" s="13" t="s">
        <v>48</v>
      </c>
      <c r="H456" s="13" t="s">
        <v>794</v>
      </c>
      <c r="I456" s="12"/>
      <c r="J456" s="13">
        <v>652992068</v>
      </c>
      <c r="K456" s="13"/>
      <c r="L456" s="13" t="s">
        <v>795</v>
      </c>
      <c r="M456" s="14"/>
      <c r="N456" s="13"/>
      <c r="O456" s="12"/>
      <c r="P456" s="12" t="s">
        <v>1184</v>
      </c>
      <c r="Q456" s="12" t="s">
        <v>1184</v>
      </c>
      <c r="R456" s="12" t="s">
        <v>1184</v>
      </c>
      <c r="S456" s="14"/>
      <c r="T456" s="12"/>
      <c r="U456" s="14"/>
      <c r="V456" s="14"/>
      <c r="W456" s="14"/>
      <c r="X456" s="12"/>
      <c r="Y456" s="12"/>
      <c r="Z456" s="14"/>
      <c r="AA456" s="12"/>
      <c r="AB456" s="15"/>
      <c r="AC456" s="16"/>
      <c r="AD456" s="16"/>
      <c r="AE456" s="16"/>
      <c r="AF456" s="16"/>
      <c r="AG456" s="16" t="s">
        <v>111</v>
      </c>
      <c r="AH456" s="14" t="s">
        <v>1149</v>
      </c>
      <c r="AI456" s="54">
        <v>0</v>
      </c>
      <c r="AJ456" s="54">
        <v>0</v>
      </c>
      <c r="AK456" s="54">
        <v>0</v>
      </c>
      <c r="AL456" s="54">
        <v>0</v>
      </c>
      <c r="AM456" s="54">
        <v>0</v>
      </c>
      <c r="AN456" s="14" t="s">
        <v>1149</v>
      </c>
    </row>
  </sheetData>
  <autoFilter ref="A2:AN456" xr:uid="{BEA06850-5482-41E4-B593-D7D1F7BB1727}"/>
  <sortState xmlns:xlrd2="http://schemas.microsoft.com/office/spreadsheetml/2017/richdata2" ref="A303:AN332">
    <sortCondition ref="D3:D332"/>
  </sortState>
  <mergeCells count="4">
    <mergeCell ref="V1:AB1"/>
    <mergeCell ref="K1:U1"/>
    <mergeCell ref="AI1:AN1"/>
    <mergeCell ref="AC1:AH1"/>
  </mergeCells>
  <conditionalFormatting sqref="D152:O160 E254:O254 D362:E362 G362:O362 C131:O131 C417:O417 D255:O278 C307:E307 G307:O307 D363:O383 D385:O387 C142:O142 D149:O150 D162:O162 D172:O177 C407:O407 D164:O169 C358:O358 D203:O210 D46:O52 C46:C62 D67:O80 C81:O117 D118:O120 C118:C130 D140:O141 D132:O138 C132:C141 D143:O147 D179:O179 C143:C179 C180:O201 D216:O216 C202:C216 C217:O246 D247:O253 D309:O357 D409:O416 D446:O455 C446:C456 D359:O359 D389:O406 C308:C406 C408:C416 C430:O445 C3:U3 D122:O130 S55:U120 C4:O45 S4:U52 S179:U201 S164:U169 S172:U177 S162:U162 S149:U150 S140:U147 S122:U138 S152:U160 S203:U210 S309:U359 S389:U407 S385:U387 S301:U307 S362:U383 S216:U278 C247:C306 S280:U299 D280:O299 D301:O306 D418:O424 S409:U424 D427:O429 S427:U455 C418:C429 P4:R456">
    <cfRule type="expression" dxfId="468" priority="939">
      <formula>$G3="RESP"</formula>
    </cfRule>
    <cfRule type="expression" dxfId="467" priority="940">
      <formula>OR($G3="CAN",$G3="BCAN")</formula>
    </cfRule>
    <cfRule type="expression" dxfId="466" priority="941">
      <formula>OR($G3="4h",$G3="24h",$G3="48h",$G3="1s",$G3="2s")</formula>
    </cfRule>
    <cfRule type="expression" dxfId="465" priority="942">
      <formula>OR($G3="Backup1",$G3="Backup2",$G3="Backup3")</formula>
    </cfRule>
    <cfRule type="expression" dxfId="464" priority="943">
      <formula>OR($G3="Ext. Área",$G3="Ext. HRE")</formula>
    </cfRule>
    <cfRule type="expression" dxfId="463" priority="944">
      <formula>AND(MID($B3,LEN($B3),1)="0",$G3&lt;&gt;"RESP",$G3&lt;&gt;"CAN",$G3&lt;&gt;"BCAN")</formula>
    </cfRule>
  </conditionalFormatting>
  <conditionalFormatting sqref="AH122:AM138 AH362:AM383 AH140:AM147 AH172:AM201 AH3:AN3 AH385:AM407 AH149:AM162 AH164:AM169 AH280:AM285 AH287:AM307 AH309:AM359 AH4:AM120 AN4:AN162 AH203:AM278 AN164:AN285 AH286:AN286 AH409:AM455 AN287:AN456">
    <cfRule type="cellIs" dxfId="462" priority="945" operator="equal">
      <formula>"No"</formula>
    </cfRule>
    <cfRule type="cellIs" dxfId="461" priority="946" operator="equal">
      <formula>"Sí"</formula>
    </cfRule>
  </conditionalFormatting>
  <conditionalFormatting sqref="V136:AB138 V362:AB383 V140:AB142 W149:AB162 V180:AB201 V385:AB407 W164:AB169 V3:AB3 W143:AB147 W172:AB179 W122:AB135 W454:AB455 V454:V456 V143:V179 V309:AB359 W4:AB120 V203:AB278 V280:AB307 V409:AB453 V4:V135">
    <cfRule type="expression" dxfId="460" priority="947">
      <formula>$G3="RESP"</formula>
    </cfRule>
    <cfRule type="expression" dxfId="459" priority="948">
      <formula>OR($G3="CAN",$G3="BCAN")</formula>
    </cfRule>
    <cfRule type="expression" dxfId="458" priority="949">
      <formula>OR($G3="4h",$G3="24h",$G3="48h",$G3="1s",$G3="2s")</formula>
    </cfRule>
    <cfRule type="expression" dxfId="457" priority="950">
      <formula>OR($G3="Backup1",$G3="Backup2",$G3="Backup3")</formula>
    </cfRule>
    <cfRule type="expression" dxfId="456" priority="951">
      <formula>OR($G3="Ext. Área",$G3="Ext. HRE")</formula>
    </cfRule>
  </conditionalFormatting>
  <conditionalFormatting sqref="C63:O63 D211:O215 D300:O300 D388:O388 D425:O426 D151:O151 D178:O178 D161:G161 I161 K161 M161:O161 S161 U161 D64:E64 G64:O64 D65:O66 D53:O62 C64:C80 S53:U54 S178:U178 S151:U151 S425:U426 S388:U388 S300:U300 S211:U215">
    <cfRule type="expression" dxfId="455" priority="409">
      <formula>$G53="RESP"</formula>
    </cfRule>
    <cfRule type="expression" dxfId="454" priority="410">
      <formula>OR($G53="CAN",$G53="BCAN")</formula>
    </cfRule>
    <cfRule type="expression" dxfId="453" priority="411">
      <formula>OR($G53="4h",$G53="24h",$G53="48h",$G53="1s",$G53="2s")</formula>
    </cfRule>
    <cfRule type="expression" dxfId="452" priority="412">
      <formula>OR($G53="Backup1",$G53="Backup2",$G53="Backup3")</formula>
    </cfRule>
    <cfRule type="expression" dxfId="451" priority="413">
      <formula>OR($G53="Ext. Área",$G53="Ext. HRE")</formula>
    </cfRule>
    <cfRule type="expression" dxfId="450" priority="414">
      <formula>AND(MID($B53,LEN($B53),1)="0",$G53&lt;&gt;"RESP",$G53&lt;&gt;"CAN",$G53&lt;&gt;"BCAN")</formula>
    </cfRule>
  </conditionalFormatting>
  <conditionalFormatting sqref="H161">
    <cfRule type="expression" dxfId="449" priority="403">
      <formula>$G161="RESP"</formula>
    </cfRule>
    <cfRule type="expression" dxfId="448" priority="404">
      <formula>OR($G161="CAN",$G161="BCAN")</formula>
    </cfRule>
    <cfRule type="expression" dxfId="447" priority="405">
      <formula>OR($G161="4h",$G161="24h",$G161="48h",$G161="1s",$G161="2s")</formula>
    </cfRule>
    <cfRule type="expression" dxfId="446" priority="406">
      <formula>OR($G161="Backup1",$G161="Backup2",$G161="Backup3")</formula>
    </cfRule>
    <cfRule type="expression" dxfId="445" priority="407">
      <formula>OR($G161="Ext. Área",$G161="Ext. HRE")</formula>
    </cfRule>
    <cfRule type="expression" dxfId="444" priority="408">
      <formula>AND(MID($B161,LEN($B161),1)="0",$G161&lt;&gt;"RESP",$G161&lt;&gt;"CAN",$G161&lt;&gt;"BCAN")</formula>
    </cfRule>
  </conditionalFormatting>
  <conditionalFormatting sqref="J161">
    <cfRule type="expression" dxfId="443" priority="385">
      <formula>$G161="RESP"</formula>
    </cfRule>
    <cfRule type="expression" dxfId="442" priority="386">
      <formula>OR($G161="CAN",$G161="BCAN")</formula>
    </cfRule>
    <cfRule type="expression" dxfId="441" priority="387">
      <formula>OR($G161="4h",$G161="24h",$G161="48h",$G161="1s",$G161="2s")</formula>
    </cfRule>
    <cfRule type="expression" dxfId="440" priority="388">
      <formula>OR($G161="Backup1",$G161="Backup2",$G161="Backup3")</formula>
    </cfRule>
    <cfRule type="expression" dxfId="439" priority="389">
      <formula>OR($G161="Ext. Área",$G161="Ext. HRE")</formula>
    </cfRule>
    <cfRule type="expression" dxfId="438" priority="390">
      <formula>AND(MID($B161,LEN($B161),1)="0",$G161&lt;&gt;"RESP",$G161&lt;&gt;"CAN",$G161&lt;&gt;"BCAN")</formula>
    </cfRule>
  </conditionalFormatting>
  <conditionalFormatting sqref="L161">
    <cfRule type="expression" dxfId="437" priority="379">
      <formula>$G161="RESP"</formula>
    </cfRule>
    <cfRule type="expression" dxfId="436" priority="380">
      <formula>OR($G161="CAN",$G161="BCAN")</formula>
    </cfRule>
    <cfRule type="expression" dxfId="435" priority="381">
      <formula>OR($G161="4h",$G161="24h",$G161="48h",$G161="1s",$G161="2s")</formula>
    </cfRule>
    <cfRule type="expression" dxfId="434" priority="382">
      <formula>OR($G161="Backup1",$G161="Backup2",$G161="Backup3")</formula>
    </cfRule>
    <cfRule type="expression" dxfId="433" priority="383">
      <formula>OR($G161="Ext. Área",$G161="Ext. HRE")</formula>
    </cfRule>
    <cfRule type="expression" dxfId="432" priority="384">
      <formula>AND(MID($B161,LEN($B161),1)="0",$G161&lt;&gt;"RESP",$G161&lt;&gt;"CAN",$G161&lt;&gt;"BCAN")</formula>
    </cfRule>
  </conditionalFormatting>
  <conditionalFormatting sqref="T161">
    <cfRule type="expression" dxfId="431" priority="367">
      <formula>$G161="RESP"</formula>
    </cfRule>
    <cfRule type="expression" dxfId="430" priority="368">
      <formula>OR($G161="CAN",$G161="BCAN")</formula>
    </cfRule>
    <cfRule type="expression" dxfId="429" priority="369">
      <formula>OR($G161="4h",$G161="24h",$G161="48h",$G161="1s",$G161="2s")</formula>
    </cfRule>
    <cfRule type="expression" dxfId="428" priority="370">
      <formula>OR($G161="Backup1",$G161="Backup2",$G161="Backup3")</formula>
    </cfRule>
    <cfRule type="expression" dxfId="427" priority="371">
      <formula>OR($G161="Ext. Área",$G161="Ext. HRE")</formula>
    </cfRule>
    <cfRule type="expression" dxfId="426" priority="372">
      <formula>AND(MID($B161,LEN($B161),1)="0",$G161&lt;&gt;"RESP",$G161&lt;&gt;"CAN",$G161&lt;&gt;"BCAN")</formula>
    </cfRule>
  </conditionalFormatting>
  <conditionalFormatting sqref="D254">
    <cfRule type="expression" dxfId="425" priority="355">
      <formula>$G254="RESP"</formula>
    </cfRule>
    <cfRule type="expression" dxfId="424" priority="356">
      <formula>OR($G254="CAN",$G254="BCAN")</formula>
    </cfRule>
    <cfRule type="expression" dxfId="423" priority="357">
      <formula>OR($G254="4h",$G254="24h",$G254="48h",$G254="1s",$G254="2s")</formula>
    </cfRule>
    <cfRule type="expression" dxfId="422" priority="358">
      <formula>OR($G254="Backup1",$G254="Backup2",$G254="Backup3")</formula>
    </cfRule>
    <cfRule type="expression" dxfId="421" priority="359">
      <formula>OR($G254="Ext. Área",$G254="Ext. HRE")</formula>
    </cfRule>
    <cfRule type="expression" dxfId="420" priority="360">
      <formula>AND(MID($B254,LEN($B254),1)="0",$G254&lt;&gt;"RESP",$G254&lt;&gt;"CAN",$G254&lt;&gt;"BCAN")</formula>
    </cfRule>
  </conditionalFormatting>
  <conditionalFormatting sqref="D360:O360 S360:U360">
    <cfRule type="expression" dxfId="419" priority="340">
      <formula>$G360="RESP"</formula>
    </cfRule>
    <cfRule type="expression" dxfId="418" priority="341">
      <formula>OR($G360="CAN",$G360="BCAN")</formula>
    </cfRule>
    <cfRule type="expression" dxfId="417" priority="342">
      <formula>OR($G360="4h",$G360="24h",$G360="48h",$G360="1s",$G360="2s")</formula>
    </cfRule>
    <cfRule type="expression" dxfId="416" priority="343">
      <formula>OR($G360="Backup1",$G360="Backup2",$G360="Backup3")</formula>
    </cfRule>
    <cfRule type="expression" dxfId="415" priority="344">
      <formula>OR($G360="Ext. Área",$G360="Ext. HRE")</formula>
    </cfRule>
    <cfRule type="expression" dxfId="414" priority="345">
      <formula>AND(MID($B360,LEN($B360),1)="0",$G360&lt;&gt;"RESP",$G360&lt;&gt;"CAN",$G360&lt;&gt;"BCAN")</formula>
    </cfRule>
  </conditionalFormatting>
  <conditionalFormatting sqref="AH360:AM360">
    <cfRule type="cellIs" dxfId="413" priority="346" operator="equal">
      <formula>"No"</formula>
    </cfRule>
    <cfRule type="cellIs" dxfId="412" priority="347" operator="equal">
      <formula>"Sí"</formula>
    </cfRule>
  </conditionalFormatting>
  <conditionalFormatting sqref="V360:AB360">
    <cfRule type="expression" dxfId="411" priority="348">
      <formula>$G360="RESP"</formula>
    </cfRule>
    <cfRule type="expression" dxfId="410" priority="349">
      <formula>OR($G360="CAN",$G360="BCAN")</formula>
    </cfRule>
    <cfRule type="expression" dxfId="409" priority="350">
      <formula>OR($G360="4h",$G360="24h",$G360="48h",$G360="1s",$G360="2s")</formula>
    </cfRule>
    <cfRule type="expression" dxfId="408" priority="351">
      <formula>OR($G360="Backup1",$G360="Backup2",$G360="Backup3")</formula>
    </cfRule>
    <cfRule type="expression" dxfId="407" priority="352">
      <formula>OR($G360="Ext. Área",$G360="Ext. HRE")</formula>
    </cfRule>
  </conditionalFormatting>
  <conditionalFormatting sqref="AG360 AM360">
    <cfRule type="iconSet" priority="353">
      <iconSet iconSet="3Symbols2" showValue="0">
        <cfvo type="percent" val="0"/>
        <cfvo type="num" val="0" gte="0"/>
        <cfvo type="num" val="1"/>
      </iconSet>
    </cfRule>
  </conditionalFormatting>
  <conditionalFormatting sqref="AC360:AF360 AI360:AM360">
    <cfRule type="iconSet" priority="354">
      <iconSet iconSet="3Symbols2" showValue="0">
        <cfvo type="percent" val="0"/>
        <cfvo type="num" val="0" gte="0"/>
        <cfvo type="num" val="1"/>
      </iconSet>
    </cfRule>
  </conditionalFormatting>
  <conditionalFormatting sqref="F362">
    <cfRule type="expression" dxfId="406" priority="334">
      <formula>$G362="RESP"</formula>
    </cfRule>
    <cfRule type="expression" dxfId="405" priority="335">
      <formula>OR($G362="CAN",$G362="BCAN")</formula>
    </cfRule>
    <cfRule type="expression" dxfId="404" priority="336">
      <formula>OR($G362="4h",$G362="24h",$G362="48h",$G362="1s",$G362="2s")</formula>
    </cfRule>
    <cfRule type="expression" dxfId="403" priority="337">
      <formula>OR($G362="Backup1",$G362="Backup2",$G362="Backup3")</formula>
    </cfRule>
    <cfRule type="expression" dxfId="402" priority="338">
      <formula>OR($G362="Ext. Área",$G362="Ext. HRE")</formula>
    </cfRule>
    <cfRule type="expression" dxfId="401" priority="339">
      <formula>AND(MID($B362,LEN($B362),1)="0",$G362&lt;&gt;"RESP",$G362&lt;&gt;"CAN",$G362&lt;&gt;"BCAN")</formula>
    </cfRule>
  </conditionalFormatting>
  <conditionalFormatting sqref="D202:O202 S202:U202">
    <cfRule type="expression" dxfId="400" priority="319">
      <formula>$G202="RESP"</formula>
    </cfRule>
    <cfRule type="expression" dxfId="399" priority="320">
      <formula>OR($G202="CAN",$G202="BCAN")</formula>
    </cfRule>
    <cfRule type="expression" dxfId="398" priority="321">
      <formula>OR($G202="4h",$G202="24h",$G202="48h",$G202="1s",$G202="2s")</formula>
    </cfRule>
    <cfRule type="expression" dxfId="397" priority="322">
      <formula>OR($G202="Backup1",$G202="Backup2",$G202="Backup3")</formula>
    </cfRule>
    <cfRule type="expression" dxfId="396" priority="323">
      <formula>OR($G202="Ext. Área",$G202="Ext. HRE")</formula>
    </cfRule>
    <cfRule type="expression" dxfId="395" priority="324">
      <formula>AND(MID($B202,LEN($B202),1)="0",$G202&lt;&gt;"RESP",$G202&lt;&gt;"CAN",$G202&lt;&gt;"BCAN")</formula>
    </cfRule>
  </conditionalFormatting>
  <conditionalFormatting sqref="AH202:AM202">
    <cfRule type="cellIs" dxfId="394" priority="325" operator="equal">
      <formula>"No"</formula>
    </cfRule>
    <cfRule type="cellIs" dxfId="393" priority="326" operator="equal">
      <formula>"Sí"</formula>
    </cfRule>
  </conditionalFormatting>
  <conditionalFormatting sqref="V202:AB202">
    <cfRule type="expression" dxfId="392" priority="327">
      <formula>$G202="RESP"</formula>
    </cfRule>
    <cfRule type="expression" dxfId="391" priority="328">
      <formula>OR($G202="CAN",$G202="BCAN")</formula>
    </cfRule>
    <cfRule type="expression" dxfId="390" priority="329">
      <formula>OR($G202="4h",$G202="24h",$G202="48h",$G202="1s",$G202="2s")</formula>
    </cfRule>
    <cfRule type="expression" dxfId="389" priority="330">
      <formula>OR($G202="Backup1",$G202="Backup2",$G202="Backup3")</formula>
    </cfRule>
    <cfRule type="expression" dxfId="388" priority="331">
      <formula>OR($G202="Ext. Área",$G202="Ext. HRE")</formula>
    </cfRule>
  </conditionalFormatting>
  <conditionalFormatting sqref="AG202 AM202">
    <cfRule type="iconSet" priority="332">
      <iconSet iconSet="3Symbols2" showValue="0">
        <cfvo type="percent" val="0"/>
        <cfvo type="num" val="0" gte="0"/>
        <cfvo type="num" val="1"/>
      </iconSet>
    </cfRule>
  </conditionalFormatting>
  <conditionalFormatting sqref="AC202:AF202 AI202:AM202">
    <cfRule type="iconSet" priority="333">
      <iconSet iconSet="3Symbols2" showValue="0">
        <cfvo type="percent" val="0"/>
        <cfvo type="num" val="0" gte="0"/>
        <cfvo type="num" val="1"/>
      </iconSet>
    </cfRule>
  </conditionalFormatting>
  <conditionalFormatting sqref="D361:E361 G361:O361 S361:U361">
    <cfRule type="expression" dxfId="387" priority="304">
      <formula>$G361="RESP"</formula>
    </cfRule>
    <cfRule type="expression" dxfId="386" priority="305">
      <formula>OR($G361="CAN",$G361="BCAN")</formula>
    </cfRule>
    <cfRule type="expression" dxfId="385" priority="306">
      <formula>OR($G361="4h",$G361="24h",$G361="48h",$G361="1s",$G361="2s")</formula>
    </cfRule>
    <cfRule type="expression" dxfId="384" priority="307">
      <formula>OR($G361="Backup1",$G361="Backup2",$G361="Backup3")</formula>
    </cfRule>
    <cfRule type="expression" dxfId="383" priority="308">
      <formula>OR($G361="Ext. Área",$G361="Ext. HRE")</formula>
    </cfRule>
    <cfRule type="expression" dxfId="382" priority="309">
      <formula>AND(MID($B361,LEN($B361),1)="0",$G361&lt;&gt;"RESP",$G361&lt;&gt;"CAN",$G361&lt;&gt;"BCAN")</formula>
    </cfRule>
  </conditionalFormatting>
  <conditionalFormatting sqref="AH361:AM361">
    <cfRule type="cellIs" dxfId="381" priority="310" operator="equal">
      <formula>"No"</formula>
    </cfRule>
    <cfRule type="cellIs" dxfId="380" priority="311" operator="equal">
      <formula>"Sí"</formula>
    </cfRule>
  </conditionalFormatting>
  <conditionalFormatting sqref="V361:AB361">
    <cfRule type="expression" dxfId="379" priority="312">
      <formula>$G361="RESP"</formula>
    </cfRule>
    <cfRule type="expression" dxfId="378" priority="313">
      <formula>OR($G361="CAN",$G361="BCAN")</formula>
    </cfRule>
    <cfRule type="expression" dxfId="377" priority="314">
      <formula>OR($G361="4h",$G361="24h",$G361="48h",$G361="1s",$G361="2s")</formula>
    </cfRule>
    <cfRule type="expression" dxfId="376" priority="315">
      <formula>OR($G361="Backup1",$G361="Backup2",$G361="Backup3")</formula>
    </cfRule>
    <cfRule type="expression" dxfId="375" priority="316">
      <formula>OR($G361="Ext. Área",$G361="Ext. HRE")</formula>
    </cfRule>
  </conditionalFormatting>
  <conditionalFormatting sqref="AG361 AM361">
    <cfRule type="iconSet" priority="317">
      <iconSet iconSet="3Symbols2" showValue="0">
        <cfvo type="percent" val="0"/>
        <cfvo type="num" val="0" gte="0"/>
        <cfvo type="num" val="1"/>
      </iconSet>
    </cfRule>
  </conditionalFormatting>
  <conditionalFormatting sqref="AC361:AF361 AI361:AM361">
    <cfRule type="iconSet" priority="318">
      <iconSet iconSet="3Symbols2" showValue="0">
        <cfvo type="percent" val="0"/>
        <cfvo type="num" val="0" gte="0"/>
        <cfvo type="num" val="1"/>
      </iconSet>
    </cfRule>
  </conditionalFormatting>
  <conditionalFormatting sqref="F361">
    <cfRule type="expression" dxfId="374" priority="298">
      <formula>$G361="RESP"</formula>
    </cfRule>
    <cfRule type="expression" dxfId="373" priority="299">
      <formula>OR($G361="CAN",$G361="BCAN")</formula>
    </cfRule>
    <cfRule type="expression" dxfId="372" priority="300">
      <formula>OR($G361="4h",$G361="24h",$G361="48h",$G361="1s",$G361="2s")</formula>
    </cfRule>
    <cfRule type="expression" dxfId="371" priority="301">
      <formula>OR($G361="Backup1",$G361="Backup2",$G361="Backup3")</formula>
    </cfRule>
    <cfRule type="expression" dxfId="370" priority="302">
      <formula>OR($G361="Ext. Área",$G361="Ext. HRE")</formula>
    </cfRule>
    <cfRule type="expression" dxfId="369" priority="303">
      <formula>AND(MID($B361,LEN($B361),1)="0",$G361&lt;&gt;"RESP",$G361&lt;&gt;"CAN",$G361&lt;&gt;"BCAN")</formula>
    </cfRule>
  </conditionalFormatting>
  <conditionalFormatting sqref="D384:O384 S384:U384">
    <cfRule type="expression" dxfId="368" priority="283">
      <formula>$G384="RESP"</formula>
    </cfRule>
    <cfRule type="expression" dxfId="367" priority="284">
      <formula>OR($G384="CAN",$G384="BCAN")</formula>
    </cfRule>
    <cfRule type="expression" dxfId="366" priority="285">
      <formula>OR($G384="4h",$G384="24h",$G384="48h",$G384="1s",$G384="2s")</formula>
    </cfRule>
    <cfRule type="expression" dxfId="365" priority="286">
      <formula>OR($G384="Backup1",$G384="Backup2",$G384="Backup3")</formula>
    </cfRule>
    <cfRule type="expression" dxfId="364" priority="287">
      <formula>OR($G384="Ext. Área",$G384="Ext. HRE")</formula>
    </cfRule>
    <cfRule type="expression" dxfId="363" priority="288">
      <formula>AND(MID($B384,LEN($B384),1)="0",$G384&lt;&gt;"RESP",$G384&lt;&gt;"CAN",$G384&lt;&gt;"BCAN")</formula>
    </cfRule>
  </conditionalFormatting>
  <conditionalFormatting sqref="AH384:AM384">
    <cfRule type="cellIs" dxfId="362" priority="289" operator="equal">
      <formula>"No"</formula>
    </cfRule>
    <cfRule type="cellIs" dxfId="361" priority="290" operator="equal">
      <formula>"Sí"</formula>
    </cfRule>
  </conditionalFormatting>
  <conditionalFormatting sqref="V384:AB384">
    <cfRule type="expression" dxfId="360" priority="291">
      <formula>$G384="RESP"</formula>
    </cfRule>
    <cfRule type="expression" dxfId="359" priority="292">
      <formula>OR($G384="CAN",$G384="BCAN")</formula>
    </cfRule>
    <cfRule type="expression" dxfId="358" priority="293">
      <formula>OR($G384="4h",$G384="24h",$G384="48h",$G384="1s",$G384="2s")</formula>
    </cfRule>
    <cfRule type="expression" dxfId="357" priority="294">
      <formula>OR($G384="Backup1",$G384="Backup2",$G384="Backup3")</formula>
    </cfRule>
    <cfRule type="expression" dxfId="356" priority="295">
      <formula>OR($G384="Ext. Área",$G384="Ext. HRE")</formula>
    </cfRule>
  </conditionalFormatting>
  <conditionalFormatting sqref="AM384 AG384">
    <cfRule type="iconSet" priority="296">
      <iconSet iconSet="3Symbols2" showValue="0">
        <cfvo type="percent" val="0"/>
        <cfvo type="num" val="0" gte="0"/>
        <cfvo type="num" val="1"/>
      </iconSet>
    </cfRule>
  </conditionalFormatting>
  <conditionalFormatting sqref="AI384:AM384 AC384:AF384">
    <cfRule type="iconSet" priority="297">
      <iconSet iconSet="3Symbols2" showValue="0">
        <cfvo type="percent" val="0"/>
        <cfvo type="num" val="0" gte="0"/>
        <cfvo type="num" val="1"/>
      </iconSet>
    </cfRule>
  </conditionalFormatting>
  <conditionalFormatting sqref="D456:O456 S456:U456">
    <cfRule type="expression" dxfId="355" priority="268">
      <formula>$G456="RESP"</formula>
    </cfRule>
    <cfRule type="expression" dxfId="354" priority="269">
      <formula>OR($G456="CAN",$G456="BCAN")</formula>
    </cfRule>
    <cfRule type="expression" dxfId="353" priority="270">
      <formula>OR($G456="4h",$G456="24h",$G456="48h",$G456="1s",$G456="2s")</formula>
    </cfRule>
    <cfRule type="expression" dxfId="352" priority="271">
      <formula>OR($G456="Backup1",$G456="Backup2",$G456="Backup3")</formula>
    </cfRule>
    <cfRule type="expression" dxfId="351" priority="272">
      <formula>OR($G456="Ext. Área",$G456="Ext. HRE")</formula>
    </cfRule>
    <cfRule type="expression" dxfId="350" priority="273">
      <formula>AND(MID($B456,LEN($B456),1)="0",$G456&lt;&gt;"RESP",$G456&lt;&gt;"CAN",$G456&lt;&gt;"BCAN")</formula>
    </cfRule>
  </conditionalFormatting>
  <conditionalFormatting sqref="AH456:AM456">
    <cfRule type="cellIs" dxfId="349" priority="274" operator="equal">
      <formula>"No"</formula>
    </cfRule>
    <cfRule type="cellIs" dxfId="348" priority="275" operator="equal">
      <formula>"Sí"</formula>
    </cfRule>
  </conditionalFormatting>
  <conditionalFormatting sqref="W456:AB456">
    <cfRule type="expression" dxfId="347" priority="276">
      <formula>$G456="RESP"</formula>
    </cfRule>
    <cfRule type="expression" dxfId="346" priority="277">
      <formula>OR($G456="CAN",$G456="BCAN")</formula>
    </cfRule>
    <cfRule type="expression" dxfId="345" priority="278">
      <formula>OR($G456="4h",$G456="24h",$G456="48h",$G456="1s",$G456="2s")</formula>
    </cfRule>
    <cfRule type="expression" dxfId="344" priority="279">
      <formula>OR($G456="Backup1",$G456="Backup2",$G456="Backup3")</formula>
    </cfRule>
    <cfRule type="expression" dxfId="343" priority="280">
      <formula>OR($G456="Ext. Área",$G456="Ext. HRE")</formula>
    </cfRule>
  </conditionalFormatting>
  <conditionalFormatting sqref="AM456 AG456">
    <cfRule type="iconSet" priority="281">
      <iconSet iconSet="3Symbols2" showValue="0">
        <cfvo type="percent" val="0"/>
        <cfvo type="num" val="0" gte="0"/>
        <cfvo type="num" val="1"/>
      </iconSet>
    </cfRule>
  </conditionalFormatting>
  <conditionalFormatting sqref="AI456:AM456 AC456:AF456">
    <cfRule type="iconSet" priority="282">
      <iconSet iconSet="3Symbols2" showValue="0">
        <cfvo type="percent" val="0"/>
        <cfvo type="num" val="0" gte="0"/>
        <cfvo type="num" val="1"/>
      </iconSet>
    </cfRule>
  </conditionalFormatting>
  <conditionalFormatting sqref="D139:O139 S139:U139">
    <cfRule type="expression" dxfId="342" priority="253">
      <formula>$G139="RESP"</formula>
    </cfRule>
    <cfRule type="expression" dxfId="341" priority="254">
      <formula>OR($G139="CAN",$G139="BCAN")</formula>
    </cfRule>
    <cfRule type="expression" dxfId="340" priority="255">
      <formula>OR($G139="4h",$G139="24h",$G139="48h",$G139="1s",$G139="2s")</formula>
    </cfRule>
    <cfRule type="expression" dxfId="339" priority="256">
      <formula>OR($G139="Backup1",$G139="Backup2",$G139="Backup3")</formula>
    </cfRule>
    <cfRule type="expression" dxfId="338" priority="257">
      <formula>OR($G139="Ext. Área",$G139="Ext. HRE")</formula>
    </cfRule>
    <cfRule type="expression" dxfId="337" priority="258">
      <formula>AND(MID($B139,LEN($B139),1)="0",$G139&lt;&gt;"RESP",$G139&lt;&gt;"CAN",$G139&lt;&gt;"BCAN")</formula>
    </cfRule>
  </conditionalFormatting>
  <conditionalFormatting sqref="AH139:AM139">
    <cfRule type="cellIs" dxfId="336" priority="259" operator="equal">
      <formula>"No"</formula>
    </cfRule>
    <cfRule type="cellIs" dxfId="335" priority="260" operator="equal">
      <formula>"Sí"</formula>
    </cfRule>
  </conditionalFormatting>
  <conditionalFormatting sqref="V139:AB139">
    <cfRule type="expression" dxfId="334" priority="261">
      <formula>$G139="RESP"</formula>
    </cfRule>
    <cfRule type="expression" dxfId="333" priority="262">
      <formula>OR($G139="CAN",$G139="BCAN")</formula>
    </cfRule>
    <cfRule type="expression" dxfId="332" priority="263">
      <formula>OR($G139="4h",$G139="24h",$G139="48h",$G139="1s",$G139="2s")</formula>
    </cfRule>
    <cfRule type="expression" dxfId="331" priority="264">
      <formula>OR($G139="Backup1",$G139="Backup2",$G139="Backup3")</formula>
    </cfRule>
    <cfRule type="expression" dxfId="330" priority="265">
      <formula>OR($G139="Ext. Área",$G139="Ext. HRE")</formula>
    </cfRule>
  </conditionalFormatting>
  <conditionalFormatting sqref="AG139 AM139">
    <cfRule type="iconSet" priority="266">
      <iconSet iconSet="3Symbols2" showValue="0">
        <cfvo type="percent" val="0"/>
        <cfvo type="num" val="0" gte="0"/>
        <cfvo type="num" val="1"/>
      </iconSet>
    </cfRule>
  </conditionalFormatting>
  <conditionalFormatting sqref="AC139:AF139 AI139:AM139">
    <cfRule type="iconSet" priority="267">
      <iconSet iconSet="3Symbols2" showValue="0">
        <cfvo type="percent" val="0"/>
        <cfvo type="num" val="0" gte="0"/>
        <cfvo type="num" val="1"/>
      </iconSet>
    </cfRule>
  </conditionalFormatting>
  <conditionalFormatting sqref="D121:O121 S121:U121">
    <cfRule type="expression" dxfId="329" priority="193">
      <formula>$G121="RESP"</formula>
    </cfRule>
    <cfRule type="expression" dxfId="328" priority="194">
      <formula>OR($G121="CAN",$G121="BCAN")</formula>
    </cfRule>
    <cfRule type="expression" dxfId="327" priority="195">
      <formula>OR($G121="4h",$G121="24h",$G121="48h",$G121="1s",$G121="2s")</formula>
    </cfRule>
    <cfRule type="expression" dxfId="326" priority="196">
      <formula>OR($G121="Backup1",$G121="Backup2",$G121="Backup3")</formula>
    </cfRule>
    <cfRule type="expression" dxfId="325" priority="197">
      <formula>OR($G121="Ext. Área",$G121="Ext. HRE")</formula>
    </cfRule>
    <cfRule type="expression" dxfId="324" priority="198">
      <formula>AND(MID($B121,LEN($B121),1)="0",$G121&lt;&gt;"RESP",$G121&lt;&gt;"CAN",$G121&lt;&gt;"BCAN")</formula>
    </cfRule>
  </conditionalFormatting>
  <conditionalFormatting sqref="AH121:AM121">
    <cfRule type="cellIs" dxfId="323" priority="199" operator="equal">
      <formula>"No"</formula>
    </cfRule>
    <cfRule type="cellIs" dxfId="322" priority="200" operator="equal">
      <formula>"Sí"</formula>
    </cfRule>
  </conditionalFormatting>
  <conditionalFormatting sqref="W121:AB121">
    <cfRule type="expression" dxfId="321" priority="201">
      <formula>$G121="RESP"</formula>
    </cfRule>
    <cfRule type="expression" dxfId="320" priority="202">
      <formula>OR($G121="CAN",$G121="BCAN")</formula>
    </cfRule>
    <cfRule type="expression" dxfId="319" priority="203">
      <formula>OR($G121="4h",$G121="24h",$G121="48h",$G121="1s",$G121="2s")</formula>
    </cfRule>
    <cfRule type="expression" dxfId="318" priority="204">
      <formula>OR($G121="Backup1",$G121="Backup2",$G121="Backup3")</formula>
    </cfRule>
    <cfRule type="expression" dxfId="317" priority="205">
      <formula>OR($G121="Ext. Área",$G121="Ext. HRE")</formula>
    </cfRule>
  </conditionalFormatting>
  <conditionalFormatting sqref="AG121 AM121">
    <cfRule type="iconSet" priority="206">
      <iconSet iconSet="3Symbols2" showValue="0">
        <cfvo type="percent" val="0"/>
        <cfvo type="num" val="0" gte="0"/>
        <cfvo type="num" val="1"/>
      </iconSet>
    </cfRule>
  </conditionalFormatting>
  <conditionalFormatting sqref="AC121:AF121 AI121:AM121">
    <cfRule type="iconSet" priority="207">
      <iconSet iconSet="3Symbols2" showValue="0">
        <cfvo type="percent" val="0"/>
        <cfvo type="num" val="0" gte="0"/>
        <cfvo type="num" val="1"/>
      </iconSet>
    </cfRule>
  </conditionalFormatting>
  <conditionalFormatting sqref="F308:O308 S308:U308">
    <cfRule type="expression" dxfId="316" priority="178">
      <formula>$G308="RESP"</formula>
    </cfRule>
    <cfRule type="expression" dxfId="315" priority="179">
      <formula>OR($G308="CAN",$G308="BCAN")</formula>
    </cfRule>
    <cfRule type="expression" dxfId="314" priority="180">
      <formula>OR($G308="4h",$G308="24h",$G308="48h",$G308="1s",$G308="2s")</formula>
    </cfRule>
    <cfRule type="expression" dxfId="313" priority="181">
      <formula>OR($G308="Backup1",$G308="Backup2",$G308="Backup3")</formula>
    </cfRule>
    <cfRule type="expression" dxfId="312" priority="182">
      <formula>OR($G308="Ext. Área",$G308="Ext. HRE")</formula>
    </cfRule>
    <cfRule type="expression" dxfId="311" priority="183">
      <formula>AND(MID($B308,LEN($B308),1)="0",$G308&lt;&gt;"RESP",$G308&lt;&gt;"CAN",$G308&lt;&gt;"BCAN")</formula>
    </cfRule>
  </conditionalFormatting>
  <conditionalFormatting sqref="AH308:AM308">
    <cfRule type="cellIs" dxfId="310" priority="184" operator="equal">
      <formula>"No"</formula>
    </cfRule>
    <cfRule type="cellIs" dxfId="309" priority="185" operator="equal">
      <formula>"Sí"</formula>
    </cfRule>
  </conditionalFormatting>
  <conditionalFormatting sqref="V308:AB308">
    <cfRule type="expression" dxfId="308" priority="186">
      <formula>$G308="RESP"</formula>
    </cfRule>
    <cfRule type="expression" dxfId="307" priority="187">
      <formula>OR($G308="CAN",$G308="BCAN")</formula>
    </cfRule>
    <cfRule type="expression" dxfId="306" priority="188">
      <formula>OR($G308="4h",$G308="24h",$G308="48h",$G308="1s",$G308="2s")</formula>
    </cfRule>
    <cfRule type="expression" dxfId="305" priority="189">
      <formula>OR($G308="Backup1",$G308="Backup2",$G308="Backup3")</formula>
    </cfRule>
    <cfRule type="expression" dxfId="304" priority="190">
      <formula>OR($G308="Ext. Área",$G308="Ext. HRE")</formula>
    </cfRule>
  </conditionalFormatting>
  <conditionalFormatting sqref="AM308 AG308">
    <cfRule type="iconSet" priority="191">
      <iconSet iconSet="3Symbols2" showValue="0">
        <cfvo type="percent" val="0"/>
        <cfvo type="num" val="0" gte="0"/>
        <cfvo type="num" val="1"/>
      </iconSet>
    </cfRule>
  </conditionalFormatting>
  <conditionalFormatting sqref="AI308:AM308 AC308:AF308">
    <cfRule type="iconSet" priority="192">
      <iconSet iconSet="3Symbols2" showValue="0">
        <cfvo type="percent" val="0"/>
        <cfvo type="num" val="0" gte="0"/>
        <cfvo type="num" val="1"/>
      </iconSet>
    </cfRule>
  </conditionalFormatting>
  <conditionalFormatting sqref="D308">
    <cfRule type="expression" dxfId="303" priority="172">
      <formula>$G308="RESP"</formula>
    </cfRule>
    <cfRule type="expression" dxfId="302" priority="173">
      <formula>OR($G308="CAN",$G308="BCAN")</formula>
    </cfRule>
    <cfRule type="expression" dxfId="301" priority="174">
      <formula>OR($G308="4h",$G308="24h",$G308="48h",$G308="1s",$G308="2s")</formula>
    </cfRule>
    <cfRule type="expression" dxfId="300" priority="175">
      <formula>OR($G308="Backup1",$G308="Backup2",$G308="Backup3")</formula>
    </cfRule>
    <cfRule type="expression" dxfId="299" priority="176">
      <formula>OR($G308="Ext. Área",$G308="Ext. HRE")</formula>
    </cfRule>
    <cfRule type="expression" dxfId="298" priority="177">
      <formula>AND(MID($B308,LEN($B308),1)="0",$G308&lt;&gt;"RESP",$G308&lt;&gt;"CAN",$G308&lt;&gt;"BCAN")</formula>
    </cfRule>
  </conditionalFormatting>
  <conditionalFormatting sqref="E308">
    <cfRule type="expression" dxfId="297" priority="166">
      <formula>$G308="RESP"</formula>
    </cfRule>
    <cfRule type="expression" dxfId="296" priority="167">
      <formula>OR($G308="CAN",$G308="BCAN")</formula>
    </cfRule>
    <cfRule type="expression" dxfId="295" priority="168">
      <formula>OR($G308="4h",$G308="24h",$G308="48h",$G308="1s",$G308="2s")</formula>
    </cfRule>
    <cfRule type="expression" dxfId="294" priority="169">
      <formula>OR($G308="Backup1",$G308="Backup2",$G308="Backup3")</formula>
    </cfRule>
    <cfRule type="expression" dxfId="293" priority="170">
      <formula>OR($G308="Ext. Área",$G308="Ext. HRE")</formula>
    </cfRule>
    <cfRule type="expression" dxfId="292" priority="171">
      <formula>AND(MID($B308,LEN($B308),1)="0",$G308&lt;&gt;"RESP",$G308&lt;&gt;"CAN",$G308&lt;&gt;"BCAN")</formula>
    </cfRule>
  </conditionalFormatting>
  <conditionalFormatting sqref="D408:O408 S408:U408">
    <cfRule type="expression" dxfId="291" priority="151">
      <formula>$G408="RESP"</formula>
    </cfRule>
    <cfRule type="expression" dxfId="290" priority="152">
      <formula>OR($G408="CAN",$G408="BCAN")</formula>
    </cfRule>
    <cfRule type="expression" dxfId="289" priority="153">
      <formula>OR($G408="4h",$G408="24h",$G408="48h",$G408="1s",$G408="2s")</formula>
    </cfRule>
    <cfRule type="expression" dxfId="288" priority="154">
      <formula>OR($G408="Backup1",$G408="Backup2",$G408="Backup3")</formula>
    </cfRule>
    <cfRule type="expression" dxfId="287" priority="155">
      <formula>OR($G408="Ext. Área",$G408="Ext. HRE")</formula>
    </cfRule>
    <cfRule type="expression" dxfId="286" priority="156">
      <formula>AND(MID($B408,LEN($B408),1)="0",$G408&lt;&gt;"RESP",$G408&lt;&gt;"CAN",$G408&lt;&gt;"BCAN")</formula>
    </cfRule>
  </conditionalFormatting>
  <conditionalFormatting sqref="AH408:AM408">
    <cfRule type="cellIs" dxfId="285" priority="157" operator="equal">
      <formula>"No"</formula>
    </cfRule>
    <cfRule type="cellIs" dxfId="284" priority="158" operator="equal">
      <formula>"Sí"</formula>
    </cfRule>
  </conditionalFormatting>
  <conditionalFormatting sqref="V408:AB408">
    <cfRule type="expression" dxfId="283" priority="159">
      <formula>$G408="RESP"</formula>
    </cfRule>
    <cfRule type="expression" dxfId="282" priority="160">
      <formula>OR($G408="CAN",$G408="BCAN")</formula>
    </cfRule>
    <cfRule type="expression" dxfId="281" priority="161">
      <formula>OR($G408="4h",$G408="24h",$G408="48h",$G408="1s",$G408="2s")</formula>
    </cfRule>
    <cfRule type="expression" dxfId="280" priority="162">
      <formula>OR($G408="Backup1",$G408="Backup2",$G408="Backup3")</formula>
    </cfRule>
    <cfRule type="expression" dxfId="279" priority="163">
      <formula>OR($G408="Ext. Área",$G408="Ext. HRE")</formula>
    </cfRule>
  </conditionalFormatting>
  <conditionalFormatting sqref="AG408 AM408">
    <cfRule type="iconSet" priority="164">
      <iconSet iconSet="3Symbols2" showValue="0">
        <cfvo type="percent" val="0"/>
        <cfvo type="num" val="0" gte="0"/>
        <cfvo type="num" val="1"/>
      </iconSet>
    </cfRule>
  </conditionalFormatting>
  <conditionalFormatting sqref="AC408:AF408 AI408:AM408">
    <cfRule type="iconSet" priority="165">
      <iconSet iconSet="3Symbols2" showValue="0">
        <cfvo type="percent" val="0"/>
        <cfvo type="num" val="0" gte="0"/>
        <cfvo type="num" val="1"/>
      </iconSet>
    </cfRule>
  </conditionalFormatting>
  <conditionalFormatting sqref="F64">
    <cfRule type="expression" dxfId="278" priority="145">
      <formula>$G64="RESP"</formula>
    </cfRule>
    <cfRule type="expression" dxfId="277" priority="146">
      <formula>OR($G64="CAN",$G64="BCAN")</formula>
    </cfRule>
    <cfRule type="expression" dxfId="276" priority="147">
      <formula>OR($G64="4h",$G64="24h",$G64="48h",$G64="1s",$G64="2s")</formula>
    </cfRule>
    <cfRule type="expression" dxfId="275" priority="148">
      <formula>OR($G64="Backup1",$G64="Backup2",$G64="Backup3")</formula>
    </cfRule>
    <cfRule type="expression" dxfId="274" priority="149">
      <formula>OR($G64="Ext. Área",$G64="Ext. HRE")</formula>
    </cfRule>
    <cfRule type="expression" dxfId="273" priority="150">
      <formula>AND(MID($B64,LEN($B64),1)="0",$G64&lt;&gt;"RESP",$G64&lt;&gt;"CAN",$G64&lt;&gt;"BCAN")</formula>
    </cfRule>
  </conditionalFormatting>
  <conditionalFormatting sqref="D279:O279 S279:U279">
    <cfRule type="expression" dxfId="272" priority="130">
      <formula>$G279="RESP"</formula>
    </cfRule>
    <cfRule type="expression" dxfId="271" priority="131">
      <formula>OR($G279="CAN",$G279="BCAN")</formula>
    </cfRule>
    <cfRule type="expression" dxfId="270" priority="132">
      <formula>OR($G279="4h",$G279="24h",$G279="48h",$G279="1s",$G279="2s")</formula>
    </cfRule>
    <cfRule type="expression" dxfId="269" priority="133">
      <formula>OR($G279="Backup1",$G279="Backup2",$G279="Backup3")</formula>
    </cfRule>
    <cfRule type="expression" dxfId="268" priority="134">
      <formula>OR($G279="Ext. Área",$G279="Ext. HRE")</formula>
    </cfRule>
    <cfRule type="expression" dxfId="267" priority="135">
      <formula>AND(MID($B279,LEN($B279),1)="0",$G279&lt;&gt;"RESP",$G279&lt;&gt;"CAN",$G279&lt;&gt;"BCAN")</formula>
    </cfRule>
  </conditionalFormatting>
  <conditionalFormatting sqref="AH279:AM279">
    <cfRule type="cellIs" dxfId="266" priority="136" operator="equal">
      <formula>"No"</formula>
    </cfRule>
    <cfRule type="cellIs" dxfId="265" priority="137" operator="equal">
      <formula>"Sí"</formula>
    </cfRule>
  </conditionalFormatting>
  <conditionalFormatting sqref="V279:AB279">
    <cfRule type="expression" dxfId="264" priority="138">
      <formula>$G279="RESP"</formula>
    </cfRule>
    <cfRule type="expression" dxfId="263" priority="139">
      <formula>OR($G279="CAN",$G279="BCAN")</formula>
    </cfRule>
    <cfRule type="expression" dxfId="262" priority="140">
      <formula>OR($G279="4h",$G279="24h",$G279="48h",$G279="1s",$G279="2s")</formula>
    </cfRule>
    <cfRule type="expression" dxfId="261" priority="141">
      <formula>OR($G279="Backup1",$G279="Backup2",$G279="Backup3")</formula>
    </cfRule>
    <cfRule type="expression" dxfId="260" priority="142">
      <formula>OR($G279="Ext. Área",$G279="Ext. HRE")</formula>
    </cfRule>
  </conditionalFormatting>
  <conditionalFormatting sqref="AM279 AG279">
    <cfRule type="iconSet" priority="143">
      <iconSet iconSet="3Symbols2" showValue="0">
        <cfvo type="percent" val="0"/>
        <cfvo type="num" val="0" gte="0"/>
        <cfvo type="num" val="1"/>
      </iconSet>
    </cfRule>
  </conditionalFormatting>
  <conditionalFormatting sqref="AI279:AM279 AC279:AF279">
    <cfRule type="iconSet" priority="144">
      <iconSet iconSet="3Symbols2" showValue="0">
        <cfvo type="percent" val="0"/>
        <cfvo type="num" val="0" gte="0"/>
        <cfvo type="num" val="1"/>
      </iconSet>
    </cfRule>
  </conditionalFormatting>
  <conditionalFormatting sqref="F307">
    <cfRule type="expression" dxfId="259" priority="124">
      <formula>$G307="RESP"</formula>
    </cfRule>
    <cfRule type="expression" dxfId="258" priority="125">
      <formula>OR($G307="CAN",$G307="BCAN")</formula>
    </cfRule>
    <cfRule type="expression" dxfId="257" priority="126">
      <formula>OR($G307="4h",$G307="24h",$G307="48h",$G307="1s",$G307="2s")</formula>
    </cfRule>
    <cfRule type="expression" dxfId="256" priority="127">
      <formula>OR($G307="Backup1",$G307="Backup2",$G307="Backup3")</formula>
    </cfRule>
    <cfRule type="expression" dxfId="255" priority="128">
      <formula>OR($G307="Ext. Área",$G307="Ext. HRE")</formula>
    </cfRule>
    <cfRule type="expression" dxfId="254" priority="129">
      <formula>AND(MID($B307,LEN($B307),1)="0",$G307&lt;&gt;"RESP",$G307&lt;&gt;"CAN",$G307&lt;&gt;"BCAN")</formula>
    </cfRule>
  </conditionalFormatting>
  <conditionalFormatting sqref="D148:O148 S148:U148">
    <cfRule type="expression" dxfId="253" priority="109">
      <formula>$G148="RESP"</formula>
    </cfRule>
    <cfRule type="expression" dxfId="252" priority="110">
      <formula>OR($G148="CAN",$G148="BCAN")</formula>
    </cfRule>
    <cfRule type="expression" dxfId="251" priority="111">
      <formula>OR($G148="4h",$G148="24h",$G148="48h",$G148="1s",$G148="2s")</formula>
    </cfRule>
    <cfRule type="expression" dxfId="250" priority="112">
      <formula>OR($G148="Backup1",$G148="Backup2",$G148="Backup3")</formula>
    </cfRule>
    <cfRule type="expression" dxfId="249" priority="113">
      <formula>OR($G148="Ext. Área",$G148="Ext. HRE")</formula>
    </cfRule>
    <cfRule type="expression" dxfId="248" priority="114">
      <formula>AND(MID($B148,LEN($B148),1)="0",$G148&lt;&gt;"RESP",$G148&lt;&gt;"CAN",$G148&lt;&gt;"BCAN")</formula>
    </cfRule>
  </conditionalFormatting>
  <conditionalFormatting sqref="AH148:AM148">
    <cfRule type="cellIs" dxfId="247" priority="115" operator="equal">
      <formula>"No"</formula>
    </cfRule>
    <cfRule type="cellIs" dxfId="246" priority="116" operator="equal">
      <formula>"Sí"</formula>
    </cfRule>
  </conditionalFormatting>
  <conditionalFormatting sqref="W148:AB148">
    <cfRule type="expression" dxfId="245" priority="117">
      <formula>$G148="RESP"</formula>
    </cfRule>
    <cfRule type="expression" dxfId="244" priority="118">
      <formula>OR($G148="CAN",$G148="BCAN")</formula>
    </cfRule>
    <cfRule type="expression" dxfId="243" priority="119">
      <formula>OR($G148="4h",$G148="24h",$G148="48h",$G148="1s",$G148="2s")</formula>
    </cfRule>
    <cfRule type="expression" dxfId="242" priority="120">
      <formula>OR($G148="Backup1",$G148="Backup2",$G148="Backup3")</formula>
    </cfRule>
    <cfRule type="expression" dxfId="241" priority="121">
      <formula>OR($G148="Ext. Área",$G148="Ext. HRE")</formula>
    </cfRule>
  </conditionalFormatting>
  <conditionalFormatting sqref="AM148 AG148">
    <cfRule type="iconSet" priority="122">
      <iconSet iconSet="3Symbols2" showValue="0">
        <cfvo type="percent" val="0"/>
        <cfvo type="num" val="0" gte="0"/>
        <cfvo type="num" val="1"/>
      </iconSet>
    </cfRule>
  </conditionalFormatting>
  <conditionalFormatting sqref="AI148:AM148 AC148:AF148">
    <cfRule type="iconSet" priority="123">
      <iconSet iconSet="3Symbols2" showValue="0">
        <cfvo type="percent" val="0"/>
        <cfvo type="num" val="0" gte="0"/>
        <cfvo type="num" val="1"/>
      </iconSet>
    </cfRule>
  </conditionalFormatting>
  <conditionalFormatting sqref="D170:O170 S170:U170">
    <cfRule type="expression" dxfId="240" priority="94">
      <formula>$G170="RESP"</formula>
    </cfRule>
    <cfRule type="expression" dxfId="239" priority="95">
      <formula>OR($G170="CAN",$G170="BCAN")</formula>
    </cfRule>
    <cfRule type="expression" dxfId="238" priority="96">
      <formula>OR($G170="4h",$G170="24h",$G170="48h",$G170="1s",$G170="2s")</formula>
    </cfRule>
    <cfRule type="expression" dxfId="237" priority="97">
      <formula>OR($G170="Backup1",$G170="Backup2",$G170="Backup3")</formula>
    </cfRule>
    <cfRule type="expression" dxfId="236" priority="98">
      <formula>OR($G170="Ext. Área",$G170="Ext. HRE")</formula>
    </cfRule>
    <cfRule type="expression" dxfId="235" priority="99">
      <formula>AND(MID($B170,LEN($B170),1)="0",$G170&lt;&gt;"RESP",$G170&lt;&gt;"CAN",$G170&lt;&gt;"BCAN")</formula>
    </cfRule>
  </conditionalFormatting>
  <conditionalFormatting sqref="AH170:AM170">
    <cfRule type="cellIs" dxfId="234" priority="100" operator="equal">
      <formula>"No"</formula>
    </cfRule>
    <cfRule type="cellIs" dxfId="233" priority="101" operator="equal">
      <formula>"Sí"</formula>
    </cfRule>
  </conditionalFormatting>
  <conditionalFormatting sqref="W170:AB170">
    <cfRule type="expression" dxfId="232" priority="102">
      <formula>$G170="RESP"</formula>
    </cfRule>
    <cfRule type="expression" dxfId="231" priority="103">
      <formula>OR($G170="CAN",$G170="BCAN")</formula>
    </cfRule>
    <cfRule type="expression" dxfId="230" priority="104">
      <formula>OR($G170="4h",$G170="24h",$G170="48h",$G170="1s",$G170="2s")</formula>
    </cfRule>
    <cfRule type="expression" dxfId="229" priority="105">
      <formula>OR($G170="Backup1",$G170="Backup2",$G170="Backup3")</formula>
    </cfRule>
    <cfRule type="expression" dxfId="228" priority="106">
      <formula>OR($G170="Ext. Área",$G170="Ext. HRE")</formula>
    </cfRule>
  </conditionalFormatting>
  <conditionalFormatting sqref="AG170 AM170">
    <cfRule type="iconSet" priority="107">
      <iconSet iconSet="3Symbols2" showValue="0">
        <cfvo type="percent" val="0"/>
        <cfvo type="num" val="0" gte="0"/>
        <cfvo type="num" val="1"/>
      </iconSet>
    </cfRule>
  </conditionalFormatting>
  <conditionalFormatting sqref="AC170:AF170 AI170:AM170">
    <cfRule type="iconSet" priority="108">
      <iconSet iconSet="3Symbols2" showValue="0">
        <cfvo type="percent" val="0"/>
        <cfvo type="num" val="0" gte="0"/>
        <cfvo type="num" val="1"/>
      </iconSet>
    </cfRule>
  </conditionalFormatting>
  <conditionalFormatting sqref="D171:O171 S171:U171">
    <cfRule type="expression" dxfId="227" priority="79">
      <formula>$G171="RESP"</formula>
    </cfRule>
    <cfRule type="expression" dxfId="226" priority="80">
      <formula>OR($G171="CAN",$G171="BCAN")</formula>
    </cfRule>
    <cfRule type="expression" dxfId="225" priority="81">
      <formula>OR($G171="4h",$G171="24h",$G171="48h",$G171="1s",$G171="2s")</formula>
    </cfRule>
    <cfRule type="expression" dxfId="224" priority="82">
      <formula>OR($G171="Backup1",$G171="Backup2",$G171="Backup3")</formula>
    </cfRule>
    <cfRule type="expression" dxfId="223" priority="83">
      <formula>OR($G171="Ext. Área",$G171="Ext. HRE")</formula>
    </cfRule>
    <cfRule type="expression" dxfId="222" priority="84">
      <formula>AND(MID($B171,LEN($B171),1)="0",$G171&lt;&gt;"RESP",$G171&lt;&gt;"CAN",$G171&lt;&gt;"BCAN")</formula>
    </cfRule>
  </conditionalFormatting>
  <conditionalFormatting sqref="AH171:AM171">
    <cfRule type="cellIs" dxfId="221" priority="85" operator="equal">
      <formula>"No"</formula>
    </cfRule>
    <cfRule type="cellIs" dxfId="220" priority="86" operator="equal">
      <formula>"Sí"</formula>
    </cfRule>
  </conditionalFormatting>
  <conditionalFormatting sqref="W171:AB171">
    <cfRule type="expression" dxfId="219" priority="87">
      <formula>$G171="RESP"</formula>
    </cfRule>
    <cfRule type="expression" dxfId="218" priority="88">
      <formula>OR($G171="CAN",$G171="BCAN")</formula>
    </cfRule>
    <cfRule type="expression" dxfId="217" priority="89">
      <formula>OR($G171="4h",$G171="24h",$G171="48h",$G171="1s",$G171="2s")</formula>
    </cfRule>
    <cfRule type="expression" dxfId="216" priority="90">
      <formula>OR($G171="Backup1",$G171="Backup2",$G171="Backup3")</formula>
    </cfRule>
    <cfRule type="expression" dxfId="215" priority="91">
      <formula>OR($G171="Ext. Área",$G171="Ext. HRE")</formula>
    </cfRule>
  </conditionalFormatting>
  <conditionalFormatting sqref="AG171 AM171">
    <cfRule type="iconSet" priority="92">
      <iconSet iconSet="3Symbols2" showValue="0">
        <cfvo type="percent" val="0"/>
        <cfvo type="num" val="0" gte="0"/>
        <cfvo type="num" val="1"/>
      </iconSet>
    </cfRule>
  </conditionalFormatting>
  <conditionalFormatting sqref="AC171:AF171 AI171:AM171">
    <cfRule type="iconSet" priority="93">
      <iconSet iconSet="3Symbols2" showValue="0">
        <cfvo type="percent" val="0"/>
        <cfvo type="num" val="0" gte="0"/>
        <cfvo type="num" val="1"/>
      </iconSet>
    </cfRule>
  </conditionalFormatting>
  <conditionalFormatting sqref="D163:O163 S163:U163">
    <cfRule type="expression" dxfId="214" priority="16">
      <formula>$G163="RESP"</formula>
    </cfRule>
    <cfRule type="expression" dxfId="213" priority="17">
      <formula>OR($G163="CAN",$G163="BCAN")</formula>
    </cfRule>
    <cfRule type="expression" dxfId="212" priority="18">
      <formula>OR($G163="4h",$G163="24h",$G163="48h",$G163="1s",$G163="2s")</formula>
    </cfRule>
    <cfRule type="expression" dxfId="211" priority="19">
      <formula>OR($G163="Backup1",$G163="Backup2",$G163="Backup3")</formula>
    </cfRule>
    <cfRule type="expression" dxfId="210" priority="20">
      <formula>OR($G163="Ext. Área",$G163="Ext. HRE")</formula>
    </cfRule>
    <cfRule type="expression" dxfId="209" priority="21">
      <formula>AND(MID($B163,LEN($B163),1)="0",$G163&lt;&gt;"RESP",$G163&lt;&gt;"CAN",$G163&lt;&gt;"BCAN")</formula>
    </cfRule>
  </conditionalFormatting>
  <conditionalFormatting sqref="AH163:AN163">
    <cfRule type="cellIs" dxfId="208" priority="22" operator="equal">
      <formula>"No"</formula>
    </cfRule>
    <cfRule type="cellIs" dxfId="207" priority="23" operator="equal">
      <formula>"Sí"</formula>
    </cfRule>
  </conditionalFormatting>
  <conditionalFormatting sqref="W163:AB163">
    <cfRule type="expression" dxfId="206" priority="24">
      <formula>$G163="RESP"</formula>
    </cfRule>
    <cfRule type="expression" dxfId="205" priority="25">
      <formula>OR($G163="CAN",$G163="BCAN")</formula>
    </cfRule>
    <cfRule type="expression" dxfId="204" priority="26">
      <formula>OR($G163="4h",$G163="24h",$G163="48h",$G163="1s",$G163="2s")</formula>
    </cfRule>
    <cfRule type="expression" dxfId="203" priority="27">
      <formula>OR($G163="Backup1",$G163="Backup2",$G163="Backup3")</formula>
    </cfRule>
    <cfRule type="expression" dxfId="202" priority="28">
      <formula>OR($G163="Ext. Área",$G163="Ext. HRE")</formula>
    </cfRule>
  </conditionalFormatting>
  <conditionalFormatting sqref="AM163 AG163">
    <cfRule type="iconSet" priority="29">
      <iconSet iconSet="3Symbols2" showValue="0">
        <cfvo type="percent" val="0"/>
        <cfvo type="num" val="0" gte="0"/>
        <cfvo type="num" val="1"/>
      </iconSet>
    </cfRule>
  </conditionalFormatting>
  <conditionalFormatting sqref="AI163:AM163 AC163:AF163">
    <cfRule type="iconSet" priority="30">
      <iconSet iconSet="3Symbols2" showValue="0">
        <cfvo type="percent" val="0"/>
        <cfvo type="num" val="0" gte="0"/>
        <cfvo type="num" val="1"/>
      </iconSet>
    </cfRule>
  </conditionalFormatting>
  <conditionalFormatting sqref="AM286 AG286">
    <cfRule type="iconSet" priority="6249">
      <iconSet iconSet="3Symbols2" showValue="0">
        <cfvo type="percent" val="0"/>
        <cfvo type="num" val="0" gte="0"/>
        <cfvo type="num" val="1"/>
      </iconSet>
    </cfRule>
  </conditionalFormatting>
  <conditionalFormatting sqref="AI286:AM286 AC286:AF286">
    <cfRule type="iconSet" priority="6251">
      <iconSet iconSet="3Symbols2" showValue="0">
        <cfvo type="percent" val="0"/>
        <cfvo type="num" val="0" gte="0"/>
        <cfvo type="num" val="1"/>
      </iconSet>
    </cfRule>
  </conditionalFormatting>
  <conditionalFormatting sqref="AG409:AG455 AG362:AG383 AI3:AM3 AM4:AM120 AM385:AM407 AC3:AG3 AG4:AG120 AM362:AM383 AG203:AG278 AM203:AM278 AG385:AG407 AG140:AG147 AM140:AM147 AG122:AG138 AM122:AM138 AM309:AM359 AG309:AG359 AM409:AM455 AM280:AM285 AG280:AG285 AM149:AM162 AG149:AG162 AG172:AG201 AM172:AM201 AG164:AG169 AM164:AM169 AG287:AG307 AM287:AM307">
    <cfRule type="iconSet" priority="6419">
      <iconSet iconSet="3Symbols2" showValue="0">
        <cfvo type="percent" val="0"/>
        <cfvo type="num" val="0" gte="0"/>
        <cfvo type="num" val="1"/>
      </iconSet>
    </cfRule>
  </conditionalFormatting>
  <conditionalFormatting sqref="AC409:AF455 AC362:AF383 AI4:AM120 AI385:AM407 AC4:AF120 AI362:AM383 AC203:AF278 AI203:AM278 AC385:AF407 AC140:AF147 AI140:AM147 AC122:AF138 AI122:AM138 AI309:AM359 AC309:AF359 AI409:AM455 AI280:AM285 AC280:AF285 AI149:AM162 AC149:AF162 AC172:AF201 AI172:AM201 AC164:AF169 AI164:AM169 AC287:AF307 AI287:AM307">
    <cfRule type="iconSet" priority="6449">
      <iconSet iconSet="3Symbols2" showValue="0">
        <cfvo type="percent" val="0"/>
        <cfvo type="num" val="0" gte="0"/>
        <cfvo type="num" val="1"/>
      </iconSet>
    </cfRule>
  </conditionalFormatting>
  <dataValidations count="2">
    <dataValidation type="list" allowBlank="1" showInputMessage="1" showErrorMessage="1" sqref="G3:G456" xr:uid="{00000000-0002-0000-0000-000000000000}">
      <formula1>LISTADO_CRITICIDADES</formula1>
    </dataValidation>
    <dataValidation type="list" allowBlank="1" showInputMessage="1" showErrorMessage="1" sqref="V3:V456" xr:uid="{73E9D94B-3B66-4F0B-B37E-A78FE93259A4}">
      <formula1>"Sí,No"</formula1>
    </dataValidation>
  </dataValidations>
  <hyperlinks>
    <hyperlink ref="L284" r:id="rId1" xr:uid="{00000000-0004-0000-0000-000001000000}"/>
    <hyperlink ref="L454" r:id="rId2" xr:uid="{5372799A-0650-4D8B-A9EF-2EB3AF9BF5AF}"/>
    <hyperlink ref="L455" r:id="rId3" xr:uid="{D5F0047D-6E53-434B-A112-04BF64BDE2A0}"/>
    <hyperlink ref="L456" r:id="rId4" xr:uid="{D8B31B17-D26C-43E3-8A54-8F52583621ED}"/>
  </hyperlinks>
  <pageMargins left="0.19685039370078741" right="0.19685039370078741" top="0.39370078740157483" bottom="0.39370078740157483" header="0.19685039370078741" footer="0.19685039370078741"/>
  <pageSetup paperSize="9" scale="31" fitToHeight="0" orientation="landscape" r:id="rId5"/>
  <headerFooter>
    <oddFooter>&amp;C&amp;P de &amp;N&amp;R&amp;F</oddFooter>
  </headerFooter>
  <drawing r:id="rId6"/>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68721-07D5-46DB-89A6-5F145F68E6FA}">
  <sheetPr codeName="Hoja7"/>
  <dimension ref="A1:AE60"/>
  <sheetViews>
    <sheetView zoomScale="70" zoomScaleNormal="70" workbookViewId="0">
      <selection activeCell="Z11" sqref="Z11"/>
    </sheetView>
  </sheetViews>
  <sheetFormatPr baseColWidth="10" defaultRowHeight="15" x14ac:dyDescent="0.25"/>
  <cols>
    <col min="1" max="1" width="15" customWidth="1"/>
    <col min="2" max="2" width="49.140625" customWidth="1"/>
    <col min="3" max="5" width="12" hidden="1" customWidth="1"/>
    <col min="6" max="6" width="22.85546875" hidden="1" customWidth="1"/>
    <col min="7" max="7" width="8.28515625" customWidth="1"/>
    <col min="8" max="11" width="8.140625" customWidth="1"/>
    <col min="12" max="12" width="1.5703125" customWidth="1"/>
    <col min="13" max="17" width="8.28515625" customWidth="1"/>
    <col min="18" max="18" width="1.5703125" customWidth="1"/>
    <col min="19" max="23" width="8.28515625" customWidth="1"/>
    <col min="24" max="24" width="1.5703125" customWidth="1"/>
    <col min="25" max="26" width="13" customWidth="1"/>
    <col min="27" max="27" width="8.42578125" hidden="1" customWidth="1"/>
    <col min="28" max="28" width="1.5703125" customWidth="1"/>
    <col min="29" max="29" width="8.5703125" customWidth="1"/>
    <col min="30" max="30" width="8.85546875" customWidth="1"/>
    <col min="31" max="31" width="8.42578125" customWidth="1"/>
  </cols>
  <sheetData>
    <row r="1" spans="1:31" ht="42.75" customHeight="1" thickBot="1" x14ac:dyDescent="0.3">
      <c r="A1" s="125" t="s">
        <v>127</v>
      </c>
      <c r="B1" s="126"/>
      <c r="C1" s="126"/>
      <c r="D1" s="126"/>
      <c r="E1" s="126"/>
      <c r="F1" s="126"/>
      <c r="G1" s="126"/>
      <c r="H1" s="126"/>
      <c r="I1" s="126"/>
      <c r="J1" s="126"/>
      <c r="K1" s="127"/>
      <c r="M1" s="111" t="s">
        <v>128</v>
      </c>
      <c r="N1" s="111"/>
      <c r="O1" s="111"/>
      <c r="P1" s="111"/>
      <c r="Q1" s="111"/>
      <c r="R1" s="111"/>
      <c r="S1" s="111"/>
      <c r="T1" s="111"/>
      <c r="U1" s="111"/>
      <c r="V1" s="111"/>
      <c r="W1" s="111"/>
      <c r="X1" s="111"/>
      <c r="Y1" s="111"/>
      <c r="Z1" s="112"/>
      <c r="AA1" s="81"/>
    </row>
    <row r="2" spans="1:31" ht="16.5" customHeight="1" x14ac:dyDescent="0.25">
      <c r="A2" s="61"/>
      <c r="B2" s="62"/>
      <c r="C2" s="128" t="s">
        <v>129</v>
      </c>
      <c r="D2" s="128"/>
      <c r="E2" s="128"/>
      <c r="F2" s="128"/>
      <c r="G2" s="24" t="s">
        <v>34</v>
      </c>
      <c r="H2" s="24" t="s">
        <v>55</v>
      </c>
      <c r="I2" s="24" t="s">
        <v>40</v>
      </c>
      <c r="J2" s="24" t="s">
        <v>41</v>
      </c>
      <c r="K2" s="25" t="s">
        <v>45</v>
      </c>
      <c r="M2" s="113"/>
      <c r="N2" s="113"/>
      <c r="O2" s="113"/>
      <c r="P2" s="113"/>
      <c r="Q2" s="113"/>
      <c r="R2" s="113"/>
      <c r="S2" s="113"/>
      <c r="T2" s="113"/>
      <c r="U2" s="113"/>
      <c r="V2" s="113"/>
      <c r="W2" s="113"/>
      <c r="X2" s="113"/>
      <c r="Y2" s="113"/>
      <c r="Z2" s="114"/>
      <c r="AA2" s="82"/>
    </row>
    <row r="3" spans="1:31" ht="15.75" customHeight="1" x14ac:dyDescent="0.25">
      <c r="A3" s="61"/>
      <c r="B3" s="62"/>
      <c r="C3" s="128" t="s">
        <v>130</v>
      </c>
      <c r="D3" s="128"/>
      <c r="E3" s="128"/>
      <c r="F3" s="128"/>
      <c r="G3" s="26">
        <v>1</v>
      </c>
      <c r="H3" s="26">
        <v>1</v>
      </c>
      <c r="I3" s="26">
        <v>1</v>
      </c>
      <c r="J3" s="26">
        <v>1</v>
      </c>
      <c r="K3" s="27">
        <v>1</v>
      </c>
      <c r="M3" s="115" t="s">
        <v>1100</v>
      </c>
      <c r="N3" s="116"/>
      <c r="O3" s="116"/>
      <c r="P3" s="116"/>
      <c r="Q3" s="116"/>
      <c r="R3" s="116"/>
      <c r="S3" s="116"/>
      <c r="T3" s="116"/>
      <c r="U3" s="116"/>
      <c r="V3" s="116"/>
      <c r="W3" s="116"/>
      <c r="X3" s="116"/>
      <c r="Y3" s="116"/>
      <c r="Z3" s="117"/>
      <c r="AA3" s="79"/>
    </row>
    <row r="4" spans="1:31" ht="15.75" customHeight="1" thickBot="1" x14ac:dyDescent="0.3">
      <c r="A4" s="63"/>
      <c r="B4" s="64"/>
      <c r="C4" s="129" t="s">
        <v>1090</v>
      </c>
      <c r="D4" s="129"/>
      <c r="E4" s="129"/>
      <c r="F4" s="129"/>
      <c r="G4" s="130" t="s">
        <v>131</v>
      </c>
      <c r="H4" s="130"/>
      <c r="I4" s="130"/>
      <c r="J4" s="130"/>
      <c r="K4" s="131"/>
      <c r="L4" s="65"/>
      <c r="M4" s="118"/>
      <c r="N4" s="119"/>
      <c r="O4" s="119"/>
      <c r="P4" s="119"/>
      <c r="Q4" s="119"/>
      <c r="R4" s="119"/>
      <c r="S4" s="119"/>
      <c r="T4" s="119"/>
      <c r="U4" s="119"/>
      <c r="V4" s="119"/>
      <c r="W4" s="119"/>
      <c r="X4" s="119"/>
      <c r="Y4" s="119"/>
      <c r="Z4" s="120"/>
      <c r="AA4" s="80"/>
    </row>
    <row r="5" spans="1:31" x14ac:dyDescent="0.25">
      <c r="M5" s="20"/>
      <c r="N5" s="20"/>
      <c r="O5" s="20"/>
      <c r="P5" s="20"/>
      <c r="Q5" s="20"/>
      <c r="R5" s="20"/>
      <c r="S5" s="20"/>
      <c r="T5" s="20"/>
      <c r="U5" s="20"/>
      <c r="V5" s="20"/>
      <c r="W5" s="20"/>
      <c r="X5" s="20"/>
      <c r="Y5" s="20"/>
      <c r="Z5" s="20"/>
      <c r="AA5" s="20"/>
      <c r="AB5" s="20"/>
      <c r="AC5" s="20"/>
      <c r="AD5" s="20"/>
      <c r="AE5" s="20"/>
    </row>
    <row r="6" spans="1:31" ht="24.75" customHeight="1" x14ac:dyDescent="0.3">
      <c r="A6" s="88" t="s">
        <v>1106</v>
      </c>
      <c r="B6" s="90"/>
      <c r="C6" s="109" t="s">
        <v>1104</v>
      </c>
      <c r="D6" s="109"/>
      <c r="E6" s="109"/>
      <c r="F6" s="109"/>
      <c r="G6" s="109" t="s">
        <v>132</v>
      </c>
      <c r="H6" s="109"/>
      <c r="I6" s="109"/>
      <c r="J6" s="109"/>
      <c r="K6" s="109"/>
      <c r="L6" s="91"/>
      <c r="M6" s="122" t="s">
        <v>1105</v>
      </c>
      <c r="N6" s="122"/>
      <c r="O6" s="122"/>
      <c r="P6" s="122"/>
      <c r="Q6" s="122"/>
      <c r="R6" s="92"/>
      <c r="S6" s="123" t="s">
        <v>133</v>
      </c>
      <c r="T6" s="123"/>
      <c r="U6" s="123"/>
      <c r="V6" s="123"/>
      <c r="W6" s="123"/>
      <c r="X6" s="92"/>
      <c r="Y6" s="106" t="s">
        <v>1101</v>
      </c>
      <c r="Z6" s="106"/>
    </row>
    <row r="7" spans="1:31" ht="30" x14ac:dyDescent="0.25">
      <c r="A7" s="110" t="s">
        <v>1091</v>
      </c>
      <c r="B7" s="110"/>
      <c r="C7" s="89" t="s">
        <v>27</v>
      </c>
      <c r="D7" s="89" t="s">
        <v>29</v>
      </c>
      <c r="E7" s="89" t="s">
        <v>31</v>
      </c>
      <c r="F7" s="89" t="s">
        <v>120</v>
      </c>
      <c r="G7" s="89" t="s">
        <v>34</v>
      </c>
      <c r="H7" s="89" t="s">
        <v>55</v>
      </c>
      <c r="I7" s="89" t="s">
        <v>40</v>
      </c>
      <c r="J7" s="89" t="s">
        <v>41</v>
      </c>
      <c r="K7" s="89" t="s">
        <v>45</v>
      </c>
      <c r="L7" s="66"/>
      <c r="M7" s="60" t="s">
        <v>34</v>
      </c>
      <c r="N7" s="60" t="s">
        <v>55</v>
      </c>
      <c r="O7" s="60" t="s">
        <v>40</v>
      </c>
      <c r="P7" s="60" t="s">
        <v>41</v>
      </c>
      <c r="Q7" s="60" t="s">
        <v>45</v>
      </c>
      <c r="R7" s="20"/>
      <c r="S7" s="60" t="s">
        <v>34</v>
      </c>
      <c r="T7" s="60" t="s">
        <v>55</v>
      </c>
      <c r="U7" s="60" t="s">
        <v>40</v>
      </c>
      <c r="V7" s="60" t="s">
        <v>41</v>
      </c>
      <c r="W7" s="60" t="s">
        <v>45</v>
      </c>
      <c r="X7" s="20"/>
      <c r="Y7" s="84" t="s">
        <v>1102</v>
      </c>
      <c r="Z7" s="85" t="s">
        <v>1103</v>
      </c>
    </row>
    <row r="8" spans="1:31" x14ac:dyDescent="0.25">
      <c r="A8" s="107" t="s">
        <v>1122</v>
      </c>
      <c r="B8" s="108"/>
      <c r="C8" s="68">
        <f t="shared" ref="C8:C27" si="0">COUNTIFS(EQUIPOS,A8,CRITICIDAD,$C$7,LOCALIZADOS,"Sí")</f>
        <v>0</v>
      </c>
      <c r="D8" s="68">
        <f t="shared" ref="D8:D27" si="1">COUNTIFS(EQUIPOS,A8,CRITICIDAD,$D$7,LOCALIZADOS,"Sí")</f>
        <v>0</v>
      </c>
      <c r="E8" s="68">
        <f t="shared" ref="E8:E27" si="2">COUNTIFS(EQUIPOS,A8,CRITICIDAD,$E$7,LOCALIZADOS,"Sí")</f>
        <v>0</v>
      </c>
      <c r="F8" s="68"/>
      <c r="G8" s="23">
        <f t="shared" ref="G8:G27" si="3">IF(G$3=0,"",IF($G$4="*TODAS*",COUNTIFS(EQUIPOS,$A8,CRITICIDAD,G$2),COUNTIFS(EQUIPOS,$A8,CRITICIDAD,G$2,PROVINCIAS,$G$4)))</f>
        <v>1</v>
      </c>
      <c r="H8" s="23">
        <f t="shared" ref="H8:K27" si="4">IF(H$3=0,"",G8+IF($G$4="*TODAS*",COUNTIFS(EQUIPOS,$A8,CRITICIDAD,H$2),COUNTIFS(EQUIPOS,$A8,CRITICIDAD,H$2,PROVINCIAS,$G$4)))</f>
        <v>1</v>
      </c>
      <c r="I8" s="23">
        <f t="shared" si="4"/>
        <v>1</v>
      </c>
      <c r="J8" s="23">
        <f t="shared" si="4"/>
        <v>1</v>
      </c>
      <c r="K8" s="23">
        <f t="shared" si="4"/>
        <v>1</v>
      </c>
      <c r="L8" s="67"/>
      <c r="M8" s="23">
        <f t="shared" ref="M8:M27" si="5">IF(G$3=0,"",IF(Z8+IF($G$4="*TODAS*",COUNTIFS(EQUIPOS,$A8,CRITICIDAD,G$2,LOCALIZADOS,"Sí"),COUNTIFS(EQUIPOS,$A8,CRITICIDAD,G$2,LOCALIZADOS,"Sí",PROVINCIAS,$G$4))&gt;G8,G8,Z8+IF($G$4="*TODAS*",COUNTIFS(EQUIPOS,$A8,CRITICIDAD,G$2,LOCALIZADOS,"Sí"),COUNTIFS(EQUIPOS,$A8,CRITICIDAD,G$2,LOCALIZADOS,"Sí",PROVINCIAS,$G$4))))</f>
        <v>0</v>
      </c>
      <c r="N8" s="23">
        <f t="shared" ref="N8:N27" si="6">IF(H$3=0,"",IF(M8+IF($G$4="*TODAS*",COUNTIFS(EQUIPOS,$A8,CRITICIDAD,H$2,LOCALIZADOS,"Sí"),COUNTIFS(EQUIPOS,$A8,CRITICIDAD,H$2,LOCALIZADOS,"Sí",PROVINCIAS,$G$4))&gt;H8,H8,M8+IF($G$4="*TODAS*",COUNTIFS(EQUIPOS,$A8,CRITICIDAD,H$2,LOCALIZADOS,"Sí"),COUNTIFS(EQUIPOS,$A8,CRITICIDAD,H$2,LOCALIZADOS,"Sí",PROVINCIAS,$G$4))))</f>
        <v>0</v>
      </c>
      <c r="O8" s="23">
        <f t="shared" ref="O8:O27" si="7">IF(I$3=0,"",IF(N8+IF($G$4="*TODAS*",COUNTIFS(EQUIPOS,$A8,CRITICIDAD,I$2,LOCALIZADOS,"Sí"),COUNTIFS(EQUIPOS,$A8,CRITICIDAD,I$2,LOCALIZADOS,"Sí",PROVINCIAS,$G$4))&gt;I8,I8,N8+IF($G$4="*TODAS*",COUNTIFS(EQUIPOS,$A8,CRITICIDAD,I$2,LOCALIZADOS,"Sí"),COUNTIFS(EQUIPOS,$A8,CRITICIDAD,I$2,LOCALIZADOS,"Sí",PROVINCIAS,$G$4))))</f>
        <v>0</v>
      </c>
      <c r="P8" s="23">
        <f t="shared" ref="P8:P27" si="8">IF(J$3=0,"",IF(O8+IF($G$4="*TODAS*",COUNTIFS(EQUIPOS,$A8,CRITICIDAD,J$2,LOCALIZADOS,"Sí"),COUNTIFS(EQUIPOS,$A8,CRITICIDAD,J$2,LOCALIZADOS,"Sí",PROVINCIAS,$G$4))&gt;J8,J8,O8+IF($G$4="*TODAS*",COUNTIFS(EQUIPOS,$A8,CRITICIDAD,J$2,LOCALIZADOS,"Sí"),COUNTIFS(EQUIPOS,$A8,CRITICIDAD,J$2,LOCALIZADOS,"Sí",PROVINCIAS,$G$4))))</f>
        <v>0</v>
      </c>
      <c r="Q8" s="23">
        <f t="shared" ref="Q8:Q27" si="9">IF(K$3=0,"",IF(P8+IF($G$4="*TODAS*",COUNTIFS(EQUIPOS,$A8,CRITICIDAD,K$2,LOCALIZADOS,"Sí"),COUNTIFS(EQUIPOS,$A8,CRITICIDAD,K$2,LOCALIZADOS,"Sí",PROVINCIAS,$G$4))&gt;K8,K8,P8+IF($G$4="*TODAS*",COUNTIFS(EQUIPOS,$A8,CRITICIDAD,K$2,LOCALIZADOS,"Sí"),COUNTIFS(EQUIPOS,$A8,CRITICIDAD,K$2,LOCALIZADOS,"Sí",PROVINCIAS,$G$4))))</f>
        <v>0</v>
      </c>
      <c r="R8" s="28"/>
      <c r="S8" s="23">
        <f>IF(G$3=0,"",IF(G8-M8&lt;0,0,G8-M8))</f>
        <v>1</v>
      </c>
      <c r="T8" s="23">
        <f t="shared" ref="T8:W8" si="10">IF(H$3=0,"",IF(H8-N8&lt;0,0,H8-N8))</f>
        <v>1</v>
      </c>
      <c r="U8" s="23">
        <f t="shared" si="10"/>
        <v>1</v>
      </c>
      <c r="V8" s="23">
        <f t="shared" si="10"/>
        <v>1</v>
      </c>
      <c r="W8" s="23">
        <f t="shared" si="10"/>
        <v>1</v>
      </c>
      <c r="X8" s="28"/>
      <c r="Y8" s="86">
        <f t="shared" ref="Y8:Y27" si="11">COUNTIFS(EQUIPOS,$A8,CRITICIDAD,"Backup1")+COUNTIFS(EQUIPOS,$A8,CRITICIDAD,"Backup2")+COUNTIFS(EQUIPOS,$A8,CRITICIDAD,"Backup3")+COUNTIFS(EQUIPOS,$A8,CRITICIDAD,"Ext. Área")+COUNTIFS(EQUIPOS,$A8,CRITICIDAD,"Ext. HRE")</f>
        <v>2</v>
      </c>
      <c r="Z8" s="87">
        <f t="shared" ref="Z8:Z27" si="12">COUNTIFS(EQUIPOS,$A8,CRITICIDAD,"Backup1",LOCALIZADOS,"Sí")+COUNTIFS(EQUIPOS,$A8,CRITICIDAD,"Backup2",LOCALIZADOS,"Sí")+COUNTIFS(EQUIPOS,$A8,CRITICIDAD,"Backup3",LOCALIZADOS,"Sí")+COUNTIFS(EQUIPOS,$A8,CRITICIDAD,"Ext. Área",LOCALIZADOS,"Sí")+COUNTIFS(EQUIPOS,$A8,CRITICIDAD,"Ext. HRE",LOCALIZADOS,"Sí")</f>
        <v>0</v>
      </c>
    </row>
    <row r="9" spans="1:31" x14ac:dyDescent="0.25">
      <c r="A9" s="107" t="s">
        <v>1123</v>
      </c>
      <c r="B9" s="108"/>
      <c r="C9" s="68">
        <f t="shared" si="0"/>
        <v>0</v>
      </c>
      <c r="D9" s="68">
        <f t="shared" si="1"/>
        <v>0</v>
      </c>
      <c r="E9" s="68">
        <f t="shared" si="2"/>
        <v>0</v>
      </c>
      <c r="F9" s="68"/>
      <c r="G9" s="23">
        <f t="shared" si="3"/>
        <v>2</v>
      </c>
      <c r="H9" s="23">
        <f t="shared" si="4"/>
        <v>2</v>
      </c>
      <c r="I9" s="23">
        <f t="shared" si="4"/>
        <v>3</v>
      </c>
      <c r="J9" s="23">
        <f t="shared" si="4"/>
        <v>6</v>
      </c>
      <c r="K9" s="23">
        <f t="shared" si="4"/>
        <v>6</v>
      </c>
      <c r="L9" s="67"/>
      <c r="M9" s="23">
        <f t="shared" si="5"/>
        <v>0</v>
      </c>
      <c r="N9" s="23">
        <f t="shared" si="6"/>
        <v>0</v>
      </c>
      <c r="O9" s="23">
        <f t="shared" si="7"/>
        <v>0</v>
      </c>
      <c r="P9" s="23">
        <f t="shared" si="8"/>
        <v>0</v>
      </c>
      <c r="Q9" s="23">
        <f t="shared" si="9"/>
        <v>0</v>
      </c>
      <c r="R9" s="28"/>
      <c r="S9" s="23">
        <f t="shared" ref="S9:S27" si="13">IF(G$3=0,"",IF(G9-M9&lt;0,0,G9-M9))</f>
        <v>2</v>
      </c>
      <c r="T9" s="23">
        <f t="shared" ref="T9:T27" si="14">IF(H$3=0,"",IF(H9-N9&lt;0,0,H9-N9))</f>
        <v>2</v>
      </c>
      <c r="U9" s="23">
        <f t="shared" ref="U9:U27" si="15">IF(I$3=0,"",IF(I9-O9&lt;0,0,I9-O9))</f>
        <v>3</v>
      </c>
      <c r="V9" s="23">
        <f t="shared" ref="V9:V27" si="16">IF(J$3=0,"",IF(J9-P9&lt;0,0,J9-P9))</f>
        <v>6</v>
      </c>
      <c r="W9" s="23">
        <f t="shared" ref="W9:W27" si="17">IF(K$3=0,"",IF(K9-Q9&lt;0,0,K9-Q9))</f>
        <v>6</v>
      </c>
      <c r="X9" s="28"/>
      <c r="Y9" s="86">
        <f t="shared" si="11"/>
        <v>8</v>
      </c>
      <c r="Z9" s="87">
        <f t="shared" si="12"/>
        <v>0</v>
      </c>
    </row>
    <row r="10" spans="1:31" x14ac:dyDescent="0.25">
      <c r="A10" s="107" t="s">
        <v>1125</v>
      </c>
      <c r="B10" s="108"/>
      <c r="C10" s="68">
        <f t="shared" si="0"/>
        <v>0</v>
      </c>
      <c r="D10" s="68">
        <f t="shared" si="1"/>
        <v>0</v>
      </c>
      <c r="E10" s="68">
        <f t="shared" si="2"/>
        <v>0</v>
      </c>
      <c r="F10" s="68"/>
      <c r="G10" s="23">
        <f t="shared" si="3"/>
        <v>0</v>
      </c>
      <c r="H10" s="23">
        <f t="shared" si="4"/>
        <v>2</v>
      </c>
      <c r="I10" s="23">
        <f t="shared" si="4"/>
        <v>5</v>
      </c>
      <c r="J10" s="23">
        <f t="shared" si="4"/>
        <v>5</v>
      </c>
      <c r="K10" s="23">
        <f t="shared" si="4"/>
        <v>5</v>
      </c>
      <c r="L10" s="67"/>
      <c r="M10" s="23">
        <f t="shared" si="5"/>
        <v>0</v>
      </c>
      <c r="N10" s="23">
        <f t="shared" si="6"/>
        <v>0</v>
      </c>
      <c r="O10" s="23">
        <f t="shared" si="7"/>
        <v>0</v>
      </c>
      <c r="P10" s="23">
        <f t="shared" si="8"/>
        <v>0</v>
      </c>
      <c r="Q10" s="23">
        <f t="shared" si="9"/>
        <v>0</v>
      </c>
      <c r="R10" s="28"/>
      <c r="S10" s="23">
        <f t="shared" si="13"/>
        <v>0</v>
      </c>
      <c r="T10" s="23">
        <f t="shared" si="14"/>
        <v>2</v>
      </c>
      <c r="U10" s="23">
        <f t="shared" si="15"/>
        <v>5</v>
      </c>
      <c r="V10" s="23">
        <f t="shared" si="16"/>
        <v>5</v>
      </c>
      <c r="W10" s="23">
        <f t="shared" si="17"/>
        <v>5</v>
      </c>
      <c r="X10" s="28"/>
      <c r="Y10" s="86">
        <f t="shared" si="11"/>
        <v>1</v>
      </c>
      <c r="Z10" s="87">
        <f t="shared" si="12"/>
        <v>0</v>
      </c>
    </row>
    <row r="11" spans="1:31" ht="15" customHeight="1" x14ac:dyDescent="0.25">
      <c r="A11" s="107" t="s">
        <v>1126</v>
      </c>
      <c r="B11" s="108"/>
      <c r="C11" s="68">
        <f t="shared" si="0"/>
        <v>0</v>
      </c>
      <c r="D11" s="68">
        <f t="shared" si="1"/>
        <v>0</v>
      </c>
      <c r="E11" s="68">
        <f t="shared" si="2"/>
        <v>0</v>
      </c>
      <c r="F11" s="68"/>
      <c r="G11" s="23">
        <f t="shared" si="3"/>
        <v>0</v>
      </c>
      <c r="H11" s="23">
        <f t="shared" si="4"/>
        <v>7</v>
      </c>
      <c r="I11" s="23">
        <f t="shared" si="4"/>
        <v>12</v>
      </c>
      <c r="J11" s="23">
        <f t="shared" si="4"/>
        <v>15</v>
      </c>
      <c r="K11" s="23">
        <f t="shared" si="4"/>
        <v>19</v>
      </c>
      <c r="L11" s="67"/>
      <c r="M11" s="23">
        <f t="shared" si="5"/>
        <v>0</v>
      </c>
      <c r="N11" s="23">
        <f t="shared" si="6"/>
        <v>0</v>
      </c>
      <c r="O11" s="23">
        <f t="shared" si="7"/>
        <v>0</v>
      </c>
      <c r="P11" s="23">
        <f t="shared" si="8"/>
        <v>0</v>
      </c>
      <c r="Q11" s="23">
        <f t="shared" si="9"/>
        <v>0</v>
      </c>
      <c r="R11" s="28"/>
      <c r="S11" s="23">
        <f t="shared" si="13"/>
        <v>0</v>
      </c>
      <c r="T11" s="23">
        <f t="shared" si="14"/>
        <v>7</v>
      </c>
      <c r="U11" s="23">
        <f t="shared" si="15"/>
        <v>12</v>
      </c>
      <c r="V11" s="23">
        <f t="shared" si="16"/>
        <v>15</v>
      </c>
      <c r="W11" s="23">
        <f t="shared" si="17"/>
        <v>19</v>
      </c>
      <c r="X11" s="28"/>
      <c r="Y11" s="86">
        <f t="shared" si="11"/>
        <v>4</v>
      </c>
      <c r="Z11" s="87">
        <f t="shared" si="12"/>
        <v>0</v>
      </c>
    </row>
    <row r="12" spans="1:31" ht="15.75" customHeight="1" x14ac:dyDescent="0.25">
      <c r="A12" s="107" t="s">
        <v>1127</v>
      </c>
      <c r="B12" s="108"/>
      <c r="C12" s="68">
        <f t="shared" si="0"/>
        <v>0</v>
      </c>
      <c r="D12" s="68">
        <f t="shared" si="1"/>
        <v>0</v>
      </c>
      <c r="E12" s="68">
        <f t="shared" si="2"/>
        <v>0</v>
      </c>
      <c r="F12" s="68"/>
      <c r="G12" s="23">
        <f t="shared" si="3"/>
        <v>0</v>
      </c>
      <c r="H12" s="23">
        <f t="shared" si="4"/>
        <v>0</v>
      </c>
      <c r="I12" s="23">
        <f t="shared" si="4"/>
        <v>0</v>
      </c>
      <c r="J12" s="23">
        <f t="shared" si="4"/>
        <v>5</v>
      </c>
      <c r="K12" s="23">
        <f t="shared" si="4"/>
        <v>7</v>
      </c>
      <c r="L12" s="67"/>
      <c r="M12" s="23">
        <f t="shared" si="5"/>
        <v>0</v>
      </c>
      <c r="N12" s="23">
        <f t="shared" si="6"/>
        <v>0</v>
      </c>
      <c r="O12" s="23">
        <f t="shared" si="7"/>
        <v>0</v>
      </c>
      <c r="P12" s="23">
        <f t="shared" si="8"/>
        <v>0</v>
      </c>
      <c r="Q12" s="23">
        <f t="shared" si="9"/>
        <v>0</v>
      </c>
      <c r="R12" s="28"/>
      <c r="S12" s="23">
        <f t="shared" si="13"/>
        <v>0</v>
      </c>
      <c r="T12" s="23">
        <f t="shared" si="14"/>
        <v>0</v>
      </c>
      <c r="U12" s="23">
        <f t="shared" si="15"/>
        <v>0</v>
      </c>
      <c r="V12" s="23">
        <f t="shared" si="16"/>
        <v>5</v>
      </c>
      <c r="W12" s="23">
        <f t="shared" si="17"/>
        <v>7</v>
      </c>
      <c r="X12" s="28"/>
      <c r="Y12" s="86">
        <f t="shared" si="11"/>
        <v>4</v>
      </c>
      <c r="Z12" s="87">
        <f t="shared" si="12"/>
        <v>0</v>
      </c>
    </row>
    <row r="13" spans="1:31" x14ac:dyDescent="0.25">
      <c r="A13" s="107" t="s">
        <v>1138</v>
      </c>
      <c r="B13" s="108"/>
      <c r="C13" s="68">
        <f t="shared" si="0"/>
        <v>0</v>
      </c>
      <c r="D13" s="68">
        <f t="shared" si="1"/>
        <v>0</v>
      </c>
      <c r="E13" s="68">
        <f t="shared" si="2"/>
        <v>0</v>
      </c>
      <c r="F13" s="68"/>
      <c r="G13" s="23">
        <f t="shared" si="3"/>
        <v>0</v>
      </c>
      <c r="H13" s="23">
        <f t="shared" si="4"/>
        <v>0</v>
      </c>
      <c r="I13" s="23">
        <f t="shared" si="4"/>
        <v>0</v>
      </c>
      <c r="J13" s="23">
        <f t="shared" si="4"/>
        <v>0</v>
      </c>
      <c r="K13" s="23">
        <f t="shared" si="4"/>
        <v>0</v>
      </c>
      <c r="L13" s="67"/>
      <c r="M13" s="23">
        <f t="shared" si="5"/>
        <v>0</v>
      </c>
      <c r="N13" s="23">
        <f t="shared" si="6"/>
        <v>0</v>
      </c>
      <c r="O13" s="23">
        <f t="shared" si="7"/>
        <v>0</v>
      </c>
      <c r="P13" s="23">
        <f t="shared" si="8"/>
        <v>0</v>
      </c>
      <c r="Q13" s="23">
        <f t="shared" si="9"/>
        <v>0</v>
      </c>
      <c r="R13" s="28"/>
      <c r="S13" s="23">
        <f t="shared" si="13"/>
        <v>0</v>
      </c>
      <c r="T13" s="23">
        <f t="shared" si="14"/>
        <v>0</v>
      </c>
      <c r="U13" s="23">
        <f t="shared" si="15"/>
        <v>0</v>
      </c>
      <c r="V13" s="23">
        <f t="shared" si="16"/>
        <v>0</v>
      </c>
      <c r="W13" s="23">
        <f t="shared" si="17"/>
        <v>0</v>
      </c>
      <c r="X13" s="28"/>
      <c r="Y13" s="86">
        <f t="shared" si="11"/>
        <v>0</v>
      </c>
      <c r="Z13" s="87">
        <f t="shared" si="12"/>
        <v>0</v>
      </c>
    </row>
    <row r="14" spans="1:31" x14ac:dyDescent="0.25">
      <c r="A14" s="107" t="s">
        <v>1128</v>
      </c>
      <c r="B14" s="108"/>
      <c r="C14" s="68">
        <f t="shared" si="0"/>
        <v>0</v>
      </c>
      <c r="D14" s="68">
        <f t="shared" si="1"/>
        <v>0</v>
      </c>
      <c r="E14" s="68">
        <f t="shared" si="2"/>
        <v>0</v>
      </c>
      <c r="F14" s="68"/>
      <c r="G14" s="23">
        <f t="shared" si="3"/>
        <v>0</v>
      </c>
      <c r="H14" s="23">
        <f t="shared" si="4"/>
        <v>0</v>
      </c>
      <c r="I14" s="23">
        <f t="shared" si="4"/>
        <v>1</v>
      </c>
      <c r="J14" s="23">
        <f t="shared" si="4"/>
        <v>4</v>
      </c>
      <c r="K14" s="23">
        <f t="shared" si="4"/>
        <v>4</v>
      </c>
      <c r="L14" s="67"/>
      <c r="M14" s="23">
        <f t="shared" si="5"/>
        <v>0</v>
      </c>
      <c r="N14" s="23">
        <f t="shared" si="6"/>
        <v>0</v>
      </c>
      <c r="O14" s="23">
        <f t="shared" si="7"/>
        <v>0</v>
      </c>
      <c r="P14" s="23">
        <f t="shared" si="8"/>
        <v>0</v>
      </c>
      <c r="Q14" s="23">
        <f t="shared" si="9"/>
        <v>0</v>
      </c>
      <c r="R14" s="28"/>
      <c r="S14" s="23">
        <f t="shared" si="13"/>
        <v>0</v>
      </c>
      <c r="T14" s="23">
        <f t="shared" si="14"/>
        <v>0</v>
      </c>
      <c r="U14" s="23">
        <f t="shared" si="15"/>
        <v>1</v>
      </c>
      <c r="V14" s="23">
        <f t="shared" si="16"/>
        <v>4</v>
      </c>
      <c r="W14" s="23">
        <f t="shared" si="17"/>
        <v>4</v>
      </c>
      <c r="X14" s="28"/>
      <c r="Y14" s="86">
        <f t="shared" si="11"/>
        <v>4</v>
      </c>
      <c r="Z14" s="87">
        <f t="shared" si="12"/>
        <v>0</v>
      </c>
    </row>
    <row r="15" spans="1:31" x14ac:dyDescent="0.25">
      <c r="A15" s="107" t="s">
        <v>1121</v>
      </c>
      <c r="B15" s="108"/>
      <c r="C15" s="68">
        <f t="shared" si="0"/>
        <v>0</v>
      </c>
      <c r="D15" s="68">
        <f t="shared" si="1"/>
        <v>0</v>
      </c>
      <c r="E15" s="68">
        <f t="shared" si="2"/>
        <v>0</v>
      </c>
      <c r="F15" s="68"/>
      <c r="G15" s="23">
        <f t="shared" si="3"/>
        <v>0</v>
      </c>
      <c r="H15" s="23">
        <f t="shared" si="4"/>
        <v>1</v>
      </c>
      <c r="I15" s="23">
        <f t="shared" si="4"/>
        <v>1</v>
      </c>
      <c r="J15" s="23">
        <f t="shared" si="4"/>
        <v>1</v>
      </c>
      <c r="K15" s="23">
        <f t="shared" si="4"/>
        <v>4</v>
      </c>
      <c r="L15" s="67"/>
      <c r="M15" s="23">
        <f t="shared" si="5"/>
        <v>0</v>
      </c>
      <c r="N15" s="23">
        <f t="shared" si="6"/>
        <v>0</v>
      </c>
      <c r="O15" s="23">
        <f t="shared" si="7"/>
        <v>0</v>
      </c>
      <c r="P15" s="23">
        <f t="shared" si="8"/>
        <v>0</v>
      </c>
      <c r="Q15" s="23">
        <f t="shared" si="9"/>
        <v>0</v>
      </c>
      <c r="R15" s="28"/>
      <c r="S15" s="23">
        <f t="shared" si="13"/>
        <v>0</v>
      </c>
      <c r="T15" s="23">
        <f t="shared" si="14"/>
        <v>1</v>
      </c>
      <c r="U15" s="23">
        <f t="shared" si="15"/>
        <v>1</v>
      </c>
      <c r="V15" s="23">
        <f t="shared" si="16"/>
        <v>1</v>
      </c>
      <c r="W15" s="23">
        <f t="shared" si="17"/>
        <v>4</v>
      </c>
      <c r="X15" s="28"/>
      <c r="Y15" s="86">
        <f t="shared" si="11"/>
        <v>3</v>
      </c>
      <c r="Z15" s="87">
        <f t="shared" si="12"/>
        <v>0</v>
      </c>
    </row>
    <row r="16" spans="1:31" x14ac:dyDescent="0.25">
      <c r="A16" s="107" t="s">
        <v>1131</v>
      </c>
      <c r="B16" s="108"/>
      <c r="C16" s="68">
        <f t="shared" si="0"/>
        <v>0</v>
      </c>
      <c r="D16" s="68">
        <f t="shared" si="1"/>
        <v>0</v>
      </c>
      <c r="E16" s="68">
        <f t="shared" si="2"/>
        <v>0</v>
      </c>
      <c r="F16" s="68"/>
      <c r="G16" s="23">
        <f t="shared" si="3"/>
        <v>1</v>
      </c>
      <c r="H16" s="23">
        <f t="shared" si="4"/>
        <v>3</v>
      </c>
      <c r="I16" s="23">
        <f t="shared" si="4"/>
        <v>3</v>
      </c>
      <c r="J16" s="23">
        <f t="shared" si="4"/>
        <v>6</v>
      </c>
      <c r="K16" s="23">
        <f t="shared" si="4"/>
        <v>9</v>
      </c>
      <c r="L16" s="67"/>
      <c r="M16" s="23">
        <f t="shared" si="5"/>
        <v>0</v>
      </c>
      <c r="N16" s="23">
        <f t="shared" si="6"/>
        <v>0</v>
      </c>
      <c r="O16" s="23">
        <f t="shared" si="7"/>
        <v>0</v>
      </c>
      <c r="P16" s="23">
        <f t="shared" si="8"/>
        <v>0</v>
      </c>
      <c r="Q16" s="23">
        <f t="shared" si="9"/>
        <v>0</v>
      </c>
      <c r="R16" s="28"/>
      <c r="S16" s="23">
        <f t="shared" si="13"/>
        <v>1</v>
      </c>
      <c r="T16" s="23">
        <f t="shared" si="14"/>
        <v>3</v>
      </c>
      <c r="U16" s="23">
        <f t="shared" si="15"/>
        <v>3</v>
      </c>
      <c r="V16" s="23">
        <f t="shared" si="16"/>
        <v>6</v>
      </c>
      <c r="W16" s="23">
        <f t="shared" si="17"/>
        <v>9</v>
      </c>
      <c r="X16" s="28"/>
      <c r="Y16" s="86">
        <f t="shared" si="11"/>
        <v>3</v>
      </c>
      <c r="Z16" s="87">
        <f t="shared" si="12"/>
        <v>0</v>
      </c>
    </row>
    <row r="17" spans="1:26" x14ac:dyDescent="0.25">
      <c r="A17" s="107" t="s">
        <v>1120</v>
      </c>
      <c r="B17" s="108"/>
      <c r="C17" s="68">
        <f t="shared" si="0"/>
        <v>0</v>
      </c>
      <c r="D17" s="68">
        <f t="shared" si="1"/>
        <v>0</v>
      </c>
      <c r="E17" s="68">
        <f t="shared" si="2"/>
        <v>0</v>
      </c>
      <c r="F17" s="68"/>
      <c r="G17" s="23">
        <f t="shared" si="3"/>
        <v>0</v>
      </c>
      <c r="H17" s="23">
        <f t="shared" si="4"/>
        <v>9</v>
      </c>
      <c r="I17" s="23">
        <f t="shared" si="4"/>
        <v>11</v>
      </c>
      <c r="J17" s="23">
        <f t="shared" si="4"/>
        <v>15</v>
      </c>
      <c r="K17" s="23">
        <f t="shared" si="4"/>
        <v>16</v>
      </c>
      <c r="L17" s="67"/>
      <c r="M17" s="23">
        <f t="shared" si="5"/>
        <v>0</v>
      </c>
      <c r="N17" s="23">
        <f t="shared" si="6"/>
        <v>0</v>
      </c>
      <c r="O17" s="23">
        <f t="shared" si="7"/>
        <v>0</v>
      </c>
      <c r="P17" s="23">
        <f t="shared" si="8"/>
        <v>0</v>
      </c>
      <c r="Q17" s="23">
        <f t="shared" si="9"/>
        <v>0</v>
      </c>
      <c r="R17" s="28"/>
      <c r="S17" s="23">
        <f t="shared" si="13"/>
        <v>0</v>
      </c>
      <c r="T17" s="23">
        <f t="shared" si="14"/>
        <v>9</v>
      </c>
      <c r="U17" s="23">
        <f t="shared" si="15"/>
        <v>11</v>
      </c>
      <c r="V17" s="23">
        <f t="shared" si="16"/>
        <v>15</v>
      </c>
      <c r="W17" s="23">
        <f t="shared" si="17"/>
        <v>16</v>
      </c>
      <c r="X17" s="28"/>
      <c r="Y17" s="86">
        <f t="shared" si="11"/>
        <v>4</v>
      </c>
      <c r="Z17" s="87">
        <f t="shared" si="12"/>
        <v>0</v>
      </c>
    </row>
    <row r="18" spans="1:26" x14ac:dyDescent="0.25">
      <c r="A18" s="107" t="s">
        <v>1133</v>
      </c>
      <c r="B18" s="108"/>
      <c r="C18" s="68">
        <f t="shared" si="0"/>
        <v>0</v>
      </c>
      <c r="D18" s="68">
        <f t="shared" si="1"/>
        <v>0</v>
      </c>
      <c r="E18" s="68">
        <f t="shared" si="2"/>
        <v>0</v>
      </c>
      <c r="F18" s="68"/>
      <c r="G18" s="23">
        <f t="shared" si="3"/>
        <v>0</v>
      </c>
      <c r="H18" s="23">
        <f t="shared" si="4"/>
        <v>26</v>
      </c>
      <c r="I18" s="23">
        <f t="shared" si="4"/>
        <v>33</v>
      </c>
      <c r="J18" s="23">
        <f t="shared" si="4"/>
        <v>44</v>
      </c>
      <c r="K18" s="23">
        <f t="shared" si="4"/>
        <v>48</v>
      </c>
      <c r="L18" s="67"/>
      <c r="M18" s="23">
        <f t="shared" si="5"/>
        <v>0</v>
      </c>
      <c r="N18" s="23">
        <f t="shared" si="6"/>
        <v>0</v>
      </c>
      <c r="O18" s="23">
        <f t="shared" si="7"/>
        <v>0</v>
      </c>
      <c r="P18" s="23">
        <f t="shared" si="8"/>
        <v>0</v>
      </c>
      <c r="Q18" s="23">
        <f t="shared" si="9"/>
        <v>0</v>
      </c>
      <c r="R18" s="28"/>
      <c r="S18" s="23">
        <f t="shared" si="13"/>
        <v>0</v>
      </c>
      <c r="T18" s="23">
        <f t="shared" si="14"/>
        <v>26</v>
      </c>
      <c r="U18" s="23">
        <f t="shared" si="15"/>
        <v>33</v>
      </c>
      <c r="V18" s="23">
        <f t="shared" si="16"/>
        <v>44</v>
      </c>
      <c r="W18" s="23">
        <f t="shared" si="17"/>
        <v>48</v>
      </c>
      <c r="X18" s="28"/>
      <c r="Y18" s="86">
        <f t="shared" si="11"/>
        <v>9</v>
      </c>
      <c r="Z18" s="87">
        <f t="shared" si="12"/>
        <v>0</v>
      </c>
    </row>
    <row r="19" spans="1:26" x14ac:dyDescent="0.25">
      <c r="A19" s="107" t="s">
        <v>1124</v>
      </c>
      <c r="B19" s="108"/>
      <c r="C19" s="68">
        <f t="shared" si="0"/>
        <v>0</v>
      </c>
      <c r="D19" s="68">
        <f t="shared" si="1"/>
        <v>0</v>
      </c>
      <c r="E19" s="68">
        <f t="shared" si="2"/>
        <v>0</v>
      </c>
      <c r="F19" s="68"/>
      <c r="G19" s="23">
        <f t="shared" si="3"/>
        <v>1</v>
      </c>
      <c r="H19" s="23">
        <f t="shared" si="4"/>
        <v>8</v>
      </c>
      <c r="I19" s="23">
        <f t="shared" si="4"/>
        <v>9</v>
      </c>
      <c r="J19" s="23">
        <f t="shared" si="4"/>
        <v>12</v>
      </c>
      <c r="K19" s="23">
        <f t="shared" si="4"/>
        <v>12</v>
      </c>
      <c r="L19" s="67"/>
      <c r="M19" s="23">
        <f t="shared" si="5"/>
        <v>0</v>
      </c>
      <c r="N19" s="23">
        <f t="shared" si="6"/>
        <v>0</v>
      </c>
      <c r="O19" s="23">
        <f t="shared" si="7"/>
        <v>0</v>
      </c>
      <c r="P19" s="23">
        <f t="shared" si="8"/>
        <v>0</v>
      </c>
      <c r="Q19" s="23">
        <f t="shared" si="9"/>
        <v>0</v>
      </c>
      <c r="R19" s="28"/>
      <c r="S19" s="23">
        <f t="shared" si="13"/>
        <v>1</v>
      </c>
      <c r="T19" s="23">
        <f t="shared" si="14"/>
        <v>8</v>
      </c>
      <c r="U19" s="23">
        <f t="shared" si="15"/>
        <v>9</v>
      </c>
      <c r="V19" s="23">
        <f t="shared" si="16"/>
        <v>12</v>
      </c>
      <c r="W19" s="23">
        <f t="shared" si="17"/>
        <v>12</v>
      </c>
      <c r="X19" s="28"/>
      <c r="Y19" s="86">
        <f t="shared" si="11"/>
        <v>3</v>
      </c>
      <c r="Z19" s="87">
        <f t="shared" si="12"/>
        <v>0</v>
      </c>
    </row>
    <row r="20" spans="1:26" x14ac:dyDescent="0.25">
      <c r="A20" s="107" t="s">
        <v>1135</v>
      </c>
      <c r="B20" s="108"/>
      <c r="C20" s="68">
        <f t="shared" si="0"/>
        <v>0</v>
      </c>
      <c r="D20" s="68">
        <f t="shared" si="1"/>
        <v>0</v>
      </c>
      <c r="E20" s="68">
        <f t="shared" si="2"/>
        <v>0</v>
      </c>
      <c r="F20" s="68"/>
      <c r="G20" s="23">
        <f t="shared" si="3"/>
        <v>5</v>
      </c>
      <c r="H20" s="23">
        <f t="shared" si="4"/>
        <v>16</v>
      </c>
      <c r="I20" s="23">
        <f t="shared" si="4"/>
        <v>24</v>
      </c>
      <c r="J20" s="23">
        <f t="shared" si="4"/>
        <v>28</v>
      </c>
      <c r="K20" s="23">
        <f t="shared" si="4"/>
        <v>32</v>
      </c>
      <c r="L20" s="67"/>
      <c r="M20" s="23">
        <f t="shared" si="5"/>
        <v>0</v>
      </c>
      <c r="N20" s="23">
        <f t="shared" si="6"/>
        <v>0</v>
      </c>
      <c r="O20" s="23">
        <f t="shared" si="7"/>
        <v>0</v>
      </c>
      <c r="P20" s="23">
        <f t="shared" si="8"/>
        <v>0</v>
      </c>
      <c r="Q20" s="23">
        <f t="shared" si="9"/>
        <v>0</v>
      </c>
      <c r="R20" s="28"/>
      <c r="S20" s="23">
        <f t="shared" si="13"/>
        <v>5</v>
      </c>
      <c r="T20" s="23">
        <f t="shared" si="14"/>
        <v>16</v>
      </c>
      <c r="U20" s="23">
        <f t="shared" si="15"/>
        <v>24</v>
      </c>
      <c r="V20" s="23">
        <f t="shared" si="16"/>
        <v>28</v>
      </c>
      <c r="W20" s="23">
        <f t="shared" si="17"/>
        <v>32</v>
      </c>
      <c r="X20" s="28"/>
      <c r="Y20" s="86">
        <f t="shared" si="11"/>
        <v>12</v>
      </c>
      <c r="Z20" s="87">
        <f t="shared" si="12"/>
        <v>0</v>
      </c>
    </row>
    <row r="21" spans="1:26" x14ac:dyDescent="0.25">
      <c r="A21" s="107" t="s">
        <v>1136</v>
      </c>
      <c r="B21" s="108"/>
      <c r="C21" s="68">
        <f t="shared" si="0"/>
        <v>0</v>
      </c>
      <c r="D21" s="68">
        <f t="shared" si="1"/>
        <v>0</v>
      </c>
      <c r="E21" s="68">
        <f t="shared" si="2"/>
        <v>0</v>
      </c>
      <c r="F21" s="68"/>
      <c r="G21" s="23">
        <f t="shared" si="3"/>
        <v>1</v>
      </c>
      <c r="H21" s="23">
        <f t="shared" si="4"/>
        <v>2</v>
      </c>
      <c r="I21" s="23">
        <f t="shared" si="4"/>
        <v>4</v>
      </c>
      <c r="J21" s="23">
        <f t="shared" si="4"/>
        <v>6</v>
      </c>
      <c r="K21" s="23">
        <f t="shared" si="4"/>
        <v>8</v>
      </c>
      <c r="L21" s="67"/>
      <c r="M21" s="23">
        <f t="shared" si="5"/>
        <v>0</v>
      </c>
      <c r="N21" s="23">
        <f t="shared" si="6"/>
        <v>0</v>
      </c>
      <c r="O21" s="23">
        <f t="shared" si="7"/>
        <v>0</v>
      </c>
      <c r="P21" s="23">
        <f t="shared" si="8"/>
        <v>0</v>
      </c>
      <c r="Q21" s="23">
        <f t="shared" si="9"/>
        <v>0</v>
      </c>
      <c r="R21" s="28"/>
      <c r="S21" s="23">
        <f t="shared" si="13"/>
        <v>1</v>
      </c>
      <c r="T21" s="23">
        <f t="shared" si="14"/>
        <v>2</v>
      </c>
      <c r="U21" s="23">
        <f t="shared" si="15"/>
        <v>4</v>
      </c>
      <c r="V21" s="23">
        <f t="shared" si="16"/>
        <v>6</v>
      </c>
      <c r="W21" s="23">
        <f t="shared" si="17"/>
        <v>8</v>
      </c>
      <c r="X21" s="28"/>
      <c r="Y21" s="86">
        <f t="shared" si="11"/>
        <v>4</v>
      </c>
      <c r="Z21" s="87">
        <f t="shared" si="12"/>
        <v>0</v>
      </c>
    </row>
    <row r="22" spans="1:26" x14ac:dyDescent="0.25">
      <c r="A22" s="107" t="s">
        <v>1139</v>
      </c>
      <c r="B22" s="108"/>
      <c r="C22" s="68">
        <f t="shared" si="0"/>
        <v>0</v>
      </c>
      <c r="D22" s="68">
        <f t="shared" si="1"/>
        <v>0</v>
      </c>
      <c r="E22" s="68">
        <f t="shared" si="2"/>
        <v>0</v>
      </c>
      <c r="F22" s="68"/>
      <c r="G22" s="23">
        <f t="shared" si="3"/>
        <v>1</v>
      </c>
      <c r="H22" s="23">
        <f t="shared" si="4"/>
        <v>5</v>
      </c>
      <c r="I22" s="23">
        <f t="shared" si="4"/>
        <v>7</v>
      </c>
      <c r="J22" s="23">
        <f t="shared" si="4"/>
        <v>11</v>
      </c>
      <c r="K22" s="23">
        <f t="shared" si="4"/>
        <v>17</v>
      </c>
      <c r="L22" s="67"/>
      <c r="M22" s="23">
        <f t="shared" si="5"/>
        <v>0</v>
      </c>
      <c r="N22" s="23">
        <f t="shared" si="6"/>
        <v>0</v>
      </c>
      <c r="O22" s="23">
        <f t="shared" si="7"/>
        <v>0</v>
      </c>
      <c r="P22" s="23">
        <f t="shared" si="8"/>
        <v>0</v>
      </c>
      <c r="Q22" s="23">
        <f t="shared" si="9"/>
        <v>0</v>
      </c>
      <c r="R22" s="28"/>
      <c r="S22" s="23">
        <f t="shared" si="13"/>
        <v>1</v>
      </c>
      <c r="T22" s="23">
        <f t="shared" si="14"/>
        <v>5</v>
      </c>
      <c r="U22" s="23">
        <f t="shared" si="15"/>
        <v>7</v>
      </c>
      <c r="V22" s="23">
        <f t="shared" si="16"/>
        <v>11</v>
      </c>
      <c r="W22" s="23">
        <f t="shared" si="17"/>
        <v>17</v>
      </c>
      <c r="X22" s="28"/>
      <c r="Y22" s="86">
        <f t="shared" si="11"/>
        <v>1</v>
      </c>
      <c r="Z22" s="87">
        <f t="shared" si="12"/>
        <v>0</v>
      </c>
    </row>
    <row r="23" spans="1:26" x14ac:dyDescent="0.25">
      <c r="A23" s="107" t="s">
        <v>1137</v>
      </c>
      <c r="B23" s="108"/>
      <c r="C23" s="68">
        <f t="shared" si="0"/>
        <v>0</v>
      </c>
      <c r="D23" s="68">
        <f t="shared" si="1"/>
        <v>0</v>
      </c>
      <c r="E23" s="68">
        <f t="shared" si="2"/>
        <v>0</v>
      </c>
      <c r="F23" s="68"/>
      <c r="G23" s="23">
        <f t="shared" si="3"/>
        <v>0</v>
      </c>
      <c r="H23" s="23">
        <f t="shared" si="4"/>
        <v>0</v>
      </c>
      <c r="I23" s="23">
        <f t="shared" si="4"/>
        <v>3</v>
      </c>
      <c r="J23" s="23">
        <f t="shared" si="4"/>
        <v>3</v>
      </c>
      <c r="K23" s="23">
        <f t="shared" si="4"/>
        <v>5</v>
      </c>
      <c r="L23" s="67"/>
      <c r="M23" s="23">
        <f t="shared" si="5"/>
        <v>0</v>
      </c>
      <c r="N23" s="23">
        <f t="shared" si="6"/>
        <v>0</v>
      </c>
      <c r="O23" s="23">
        <f t="shared" si="7"/>
        <v>0</v>
      </c>
      <c r="P23" s="23">
        <f t="shared" si="8"/>
        <v>0</v>
      </c>
      <c r="Q23" s="23">
        <f t="shared" si="9"/>
        <v>0</v>
      </c>
      <c r="R23" s="28"/>
      <c r="S23" s="23">
        <f t="shared" si="13"/>
        <v>0</v>
      </c>
      <c r="T23" s="23">
        <f t="shared" si="14"/>
        <v>0</v>
      </c>
      <c r="U23" s="23">
        <f t="shared" si="15"/>
        <v>3</v>
      </c>
      <c r="V23" s="23">
        <f t="shared" si="16"/>
        <v>3</v>
      </c>
      <c r="W23" s="23">
        <f t="shared" si="17"/>
        <v>5</v>
      </c>
      <c r="X23" s="28"/>
      <c r="Y23" s="86">
        <f t="shared" si="11"/>
        <v>4</v>
      </c>
      <c r="Z23" s="87">
        <f t="shared" si="12"/>
        <v>0</v>
      </c>
    </row>
    <row r="24" spans="1:26" x14ac:dyDescent="0.25">
      <c r="A24" s="107" t="s">
        <v>1130</v>
      </c>
      <c r="B24" s="108"/>
      <c r="C24" s="68">
        <f t="shared" si="0"/>
        <v>0</v>
      </c>
      <c r="D24" s="68">
        <f t="shared" si="1"/>
        <v>0</v>
      </c>
      <c r="E24" s="68">
        <f t="shared" si="2"/>
        <v>0</v>
      </c>
      <c r="F24" s="68"/>
      <c r="G24" s="23">
        <f t="shared" si="3"/>
        <v>0</v>
      </c>
      <c r="H24" s="23">
        <f t="shared" si="4"/>
        <v>8</v>
      </c>
      <c r="I24" s="23">
        <f t="shared" si="4"/>
        <v>11</v>
      </c>
      <c r="J24" s="23">
        <f t="shared" si="4"/>
        <v>13</v>
      </c>
      <c r="K24" s="23">
        <f t="shared" si="4"/>
        <v>13</v>
      </c>
      <c r="L24" s="67"/>
      <c r="M24" s="23">
        <f t="shared" si="5"/>
        <v>0</v>
      </c>
      <c r="N24" s="23">
        <f t="shared" si="6"/>
        <v>0</v>
      </c>
      <c r="O24" s="23">
        <f t="shared" si="7"/>
        <v>0</v>
      </c>
      <c r="P24" s="23">
        <f t="shared" si="8"/>
        <v>0</v>
      </c>
      <c r="Q24" s="23">
        <f t="shared" si="9"/>
        <v>0</v>
      </c>
      <c r="R24" s="28"/>
      <c r="S24" s="23">
        <f t="shared" si="13"/>
        <v>0</v>
      </c>
      <c r="T24" s="23">
        <f t="shared" si="14"/>
        <v>8</v>
      </c>
      <c r="U24" s="23">
        <f t="shared" si="15"/>
        <v>11</v>
      </c>
      <c r="V24" s="23">
        <f t="shared" si="16"/>
        <v>13</v>
      </c>
      <c r="W24" s="23">
        <f t="shared" si="17"/>
        <v>13</v>
      </c>
      <c r="X24" s="28"/>
      <c r="Y24" s="86">
        <f t="shared" si="11"/>
        <v>5</v>
      </c>
      <c r="Z24" s="87">
        <f t="shared" si="12"/>
        <v>0</v>
      </c>
    </row>
    <row r="25" spans="1:26" x14ac:dyDescent="0.25">
      <c r="A25" s="107" t="s">
        <v>1134</v>
      </c>
      <c r="B25" s="108"/>
      <c r="C25" s="68">
        <f t="shared" si="0"/>
        <v>0</v>
      </c>
      <c r="D25" s="68">
        <f t="shared" si="1"/>
        <v>0</v>
      </c>
      <c r="E25" s="68">
        <f t="shared" si="2"/>
        <v>0</v>
      </c>
      <c r="F25" s="68"/>
      <c r="G25" s="23">
        <f t="shared" si="3"/>
        <v>2</v>
      </c>
      <c r="H25" s="23">
        <f t="shared" si="4"/>
        <v>4</v>
      </c>
      <c r="I25" s="23">
        <f t="shared" si="4"/>
        <v>13</v>
      </c>
      <c r="J25" s="23">
        <f t="shared" si="4"/>
        <v>28</v>
      </c>
      <c r="K25" s="23">
        <f t="shared" si="4"/>
        <v>37</v>
      </c>
      <c r="L25" s="67"/>
      <c r="M25" s="23">
        <f t="shared" si="5"/>
        <v>0</v>
      </c>
      <c r="N25" s="23">
        <f t="shared" si="6"/>
        <v>0</v>
      </c>
      <c r="O25" s="23">
        <f t="shared" si="7"/>
        <v>0</v>
      </c>
      <c r="P25" s="23">
        <f t="shared" si="8"/>
        <v>0</v>
      </c>
      <c r="Q25" s="23">
        <f t="shared" si="9"/>
        <v>0</v>
      </c>
      <c r="R25" s="28"/>
      <c r="S25" s="23">
        <f t="shared" si="13"/>
        <v>2</v>
      </c>
      <c r="T25" s="23">
        <f t="shared" si="14"/>
        <v>4</v>
      </c>
      <c r="U25" s="23">
        <f t="shared" si="15"/>
        <v>13</v>
      </c>
      <c r="V25" s="23">
        <f t="shared" si="16"/>
        <v>28</v>
      </c>
      <c r="W25" s="23">
        <f t="shared" si="17"/>
        <v>37</v>
      </c>
      <c r="X25" s="28"/>
      <c r="Y25" s="86">
        <f t="shared" si="11"/>
        <v>9</v>
      </c>
      <c r="Z25" s="87">
        <f t="shared" si="12"/>
        <v>0</v>
      </c>
    </row>
    <row r="26" spans="1:26" x14ac:dyDescent="0.25">
      <c r="A26" s="107" t="s">
        <v>1132</v>
      </c>
      <c r="B26" s="108"/>
      <c r="C26" s="68">
        <f t="shared" si="0"/>
        <v>0</v>
      </c>
      <c r="D26" s="68">
        <f t="shared" si="1"/>
        <v>0</v>
      </c>
      <c r="E26" s="68">
        <f t="shared" si="2"/>
        <v>0</v>
      </c>
      <c r="F26" s="68"/>
      <c r="G26" s="23">
        <f t="shared" si="3"/>
        <v>2</v>
      </c>
      <c r="H26" s="23">
        <f t="shared" si="4"/>
        <v>12</v>
      </c>
      <c r="I26" s="23">
        <f t="shared" si="4"/>
        <v>13</v>
      </c>
      <c r="J26" s="23">
        <f t="shared" si="4"/>
        <v>20</v>
      </c>
      <c r="K26" s="23">
        <f t="shared" si="4"/>
        <v>25</v>
      </c>
      <c r="L26" s="67"/>
      <c r="M26" s="23">
        <f t="shared" si="5"/>
        <v>0</v>
      </c>
      <c r="N26" s="23">
        <f t="shared" si="6"/>
        <v>0</v>
      </c>
      <c r="O26" s="23">
        <f t="shared" si="7"/>
        <v>0</v>
      </c>
      <c r="P26" s="23">
        <f t="shared" si="8"/>
        <v>0</v>
      </c>
      <c r="Q26" s="23">
        <f t="shared" si="9"/>
        <v>0</v>
      </c>
      <c r="R26" s="28"/>
      <c r="S26" s="23">
        <f t="shared" si="13"/>
        <v>2</v>
      </c>
      <c r="T26" s="23">
        <f t="shared" si="14"/>
        <v>12</v>
      </c>
      <c r="U26" s="23">
        <f t="shared" si="15"/>
        <v>13</v>
      </c>
      <c r="V26" s="23">
        <f t="shared" si="16"/>
        <v>20</v>
      </c>
      <c r="W26" s="23">
        <f t="shared" si="17"/>
        <v>25</v>
      </c>
      <c r="X26" s="28"/>
      <c r="Y26" s="86">
        <f t="shared" si="11"/>
        <v>1</v>
      </c>
      <c r="Z26" s="87">
        <f t="shared" si="12"/>
        <v>0</v>
      </c>
    </row>
    <row r="27" spans="1:26" x14ac:dyDescent="0.25">
      <c r="A27" s="107" t="s">
        <v>1129</v>
      </c>
      <c r="B27" s="108"/>
      <c r="C27" s="68">
        <f t="shared" si="0"/>
        <v>0</v>
      </c>
      <c r="D27" s="68">
        <f t="shared" si="1"/>
        <v>0</v>
      </c>
      <c r="E27" s="68">
        <f t="shared" si="2"/>
        <v>0</v>
      </c>
      <c r="F27" s="68"/>
      <c r="G27" s="23">
        <f t="shared" si="3"/>
        <v>13</v>
      </c>
      <c r="H27" s="23">
        <f t="shared" si="4"/>
        <v>19</v>
      </c>
      <c r="I27" s="23">
        <f t="shared" si="4"/>
        <v>20</v>
      </c>
      <c r="J27" s="23">
        <f t="shared" si="4"/>
        <v>20</v>
      </c>
      <c r="K27" s="23">
        <f t="shared" si="4"/>
        <v>21</v>
      </c>
      <c r="L27" s="67"/>
      <c r="M27" s="23">
        <f t="shared" si="5"/>
        <v>0</v>
      </c>
      <c r="N27" s="23">
        <f t="shared" si="6"/>
        <v>0</v>
      </c>
      <c r="O27" s="23">
        <f t="shared" si="7"/>
        <v>0</v>
      </c>
      <c r="P27" s="23">
        <f t="shared" si="8"/>
        <v>0</v>
      </c>
      <c r="Q27" s="23">
        <f t="shared" si="9"/>
        <v>0</v>
      </c>
      <c r="R27" s="28"/>
      <c r="S27" s="23">
        <f t="shared" si="13"/>
        <v>13</v>
      </c>
      <c r="T27" s="23">
        <f t="shared" si="14"/>
        <v>19</v>
      </c>
      <c r="U27" s="23">
        <f t="shared" si="15"/>
        <v>20</v>
      </c>
      <c r="V27" s="23">
        <f t="shared" si="16"/>
        <v>20</v>
      </c>
      <c r="W27" s="23">
        <f t="shared" si="17"/>
        <v>21</v>
      </c>
      <c r="X27" s="28"/>
      <c r="Y27" s="86">
        <f t="shared" si="11"/>
        <v>12</v>
      </c>
      <c r="Z27" s="87">
        <f t="shared" si="12"/>
        <v>0</v>
      </c>
    </row>
    <row r="28" spans="1:26" x14ac:dyDescent="0.25">
      <c r="A28" s="110" t="s">
        <v>1094</v>
      </c>
      <c r="B28" s="110"/>
      <c r="C28" s="89"/>
      <c r="D28" s="89"/>
      <c r="E28" s="89"/>
      <c r="F28" s="89"/>
      <c r="G28" s="83">
        <f>SUBTOTAL(9,G8:G27)</f>
        <v>29</v>
      </c>
      <c r="H28" s="83">
        <f>SUBTOTAL(9,H8:H27)</f>
        <v>125</v>
      </c>
      <c r="I28" s="83">
        <f>SUBTOTAL(9,I8:I27)</f>
        <v>174</v>
      </c>
      <c r="J28" s="83">
        <f>SUBTOTAL(9,J8:J27)</f>
        <v>243</v>
      </c>
      <c r="K28" s="83">
        <f>SUBTOTAL(9,K8:K27)</f>
        <v>289</v>
      </c>
      <c r="L28" s="67"/>
      <c r="M28" s="78">
        <f>SUBTOTAL(9,M8:M27)</f>
        <v>0</v>
      </c>
      <c r="N28" s="78">
        <f>SUBTOTAL(9,N8:N27)</f>
        <v>0</v>
      </c>
      <c r="O28" s="78">
        <f>SUBTOTAL(9,O8:O27)</f>
        <v>0</v>
      </c>
      <c r="P28" s="78">
        <f>SUBTOTAL(9,P8:P27)</f>
        <v>0</v>
      </c>
      <c r="Q28" s="78">
        <f>SUBTOTAL(9,Q8:Q27)</f>
        <v>0</v>
      </c>
      <c r="R28" s="20"/>
      <c r="S28" s="78">
        <f>SUBTOTAL(9,S8:S27)</f>
        <v>29</v>
      </c>
      <c r="T28" s="78">
        <f>SUBTOTAL(9,T8:T27)</f>
        <v>125</v>
      </c>
      <c r="U28" s="78">
        <f>SUBTOTAL(9,U8:U27)</f>
        <v>174</v>
      </c>
      <c r="V28" s="78">
        <f>SUBTOTAL(9,V8:V27)</f>
        <v>243</v>
      </c>
      <c r="W28" s="78">
        <f>SUBTOTAL(9,W8:W27)</f>
        <v>289</v>
      </c>
      <c r="X28" s="20"/>
      <c r="Y28" s="83">
        <f>SUBTOTAL(9,Y8:Y27)</f>
        <v>93</v>
      </c>
      <c r="Z28" s="83">
        <f>SUBTOTAL(9,Z8:Z27)</f>
        <v>0</v>
      </c>
    </row>
    <row r="30" spans="1:26" hidden="1" x14ac:dyDescent="0.25">
      <c r="A30" s="124" t="s">
        <v>1095</v>
      </c>
      <c r="B30" s="124"/>
    </row>
    <row r="31" spans="1:26" hidden="1" x14ac:dyDescent="0.25">
      <c r="A31" s="69" t="s">
        <v>27</v>
      </c>
      <c r="B31" s="70" t="s">
        <v>121</v>
      </c>
    </row>
    <row r="32" spans="1:26" hidden="1" x14ac:dyDescent="0.25">
      <c r="A32" s="69" t="s">
        <v>1092</v>
      </c>
      <c r="B32" s="70" t="s">
        <v>122</v>
      </c>
    </row>
    <row r="33" spans="1:2" hidden="1" x14ac:dyDescent="0.25">
      <c r="A33" s="69" t="s">
        <v>1093</v>
      </c>
      <c r="B33" s="70" t="s">
        <v>123</v>
      </c>
    </row>
    <row r="34" spans="1:2" hidden="1" x14ac:dyDescent="0.25">
      <c r="A34" s="71"/>
      <c r="B34" s="70" t="s">
        <v>1096</v>
      </c>
    </row>
    <row r="35" spans="1:2" hidden="1" x14ac:dyDescent="0.25">
      <c r="A35" s="72"/>
      <c r="B35" s="70" t="s">
        <v>124</v>
      </c>
    </row>
    <row r="36" spans="1:2" hidden="1" x14ac:dyDescent="0.25">
      <c r="A36" s="73"/>
      <c r="B36" s="70" t="s">
        <v>1097</v>
      </c>
    </row>
    <row r="37" spans="1:2" hidden="1" x14ac:dyDescent="0.25">
      <c r="A37" s="68">
        <v>1</v>
      </c>
      <c r="B37" s="70" t="s">
        <v>125</v>
      </c>
    </row>
    <row r="38" spans="1:2" hidden="1" x14ac:dyDescent="0.25">
      <c r="A38" s="68">
        <v>0</v>
      </c>
      <c r="B38" s="70" t="s">
        <v>126</v>
      </c>
    </row>
    <row r="39" spans="1:2" hidden="1" x14ac:dyDescent="0.25"/>
    <row r="40" spans="1:2" x14ac:dyDescent="0.25">
      <c r="A40" s="121" t="s">
        <v>1098</v>
      </c>
      <c r="B40" s="121"/>
    </row>
    <row r="41" spans="1:2" x14ac:dyDescent="0.25">
      <c r="A41" s="74" t="s">
        <v>34</v>
      </c>
      <c r="B41" s="59" t="s">
        <v>134</v>
      </c>
    </row>
    <row r="42" spans="1:2" x14ac:dyDescent="0.25">
      <c r="A42" s="74" t="s">
        <v>55</v>
      </c>
      <c r="B42" s="59" t="s">
        <v>135</v>
      </c>
    </row>
    <row r="43" spans="1:2" x14ac:dyDescent="0.25">
      <c r="A43" s="74" t="s">
        <v>40</v>
      </c>
      <c r="B43" s="59" t="s">
        <v>136</v>
      </c>
    </row>
    <row r="44" spans="1:2" x14ac:dyDescent="0.25">
      <c r="A44" s="74" t="s">
        <v>41</v>
      </c>
      <c r="B44" s="59" t="s">
        <v>137</v>
      </c>
    </row>
    <row r="45" spans="1:2" x14ac:dyDescent="0.25">
      <c r="A45" s="74" t="s">
        <v>45</v>
      </c>
      <c r="B45" s="59" t="s">
        <v>1099</v>
      </c>
    </row>
    <row r="46" spans="1:2" x14ac:dyDescent="0.25">
      <c r="A46" s="75"/>
      <c r="B46" s="59" t="s">
        <v>138</v>
      </c>
    </row>
    <row r="47" spans="1:2" x14ac:dyDescent="0.25">
      <c r="A47" s="76"/>
      <c r="B47" s="59" t="s">
        <v>124</v>
      </c>
    </row>
    <row r="48" spans="1:2" x14ac:dyDescent="0.25">
      <c r="A48" s="77"/>
      <c r="B48" s="59" t="s">
        <v>139</v>
      </c>
    </row>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sheetData>
  <autoFilter ref="A7:AA27" xr:uid="{E6D7EB06-8552-43ED-BB29-76766EEB19F4}">
    <filterColumn colId="0" showButton="0"/>
  </autoFilter>
  <mergeCells count="36">
    <mergeCell ref="A25:B25"/>
    <mergeCell ref="A26:B26"/>
    <mergeCell ref="A1:K1"/>
    <mergeCell ref="C2:F2"/>
    <mergeCell ref="C3:F3"/>
    <mergeCell ref="C4:F4"/>
    <mergeCell ref="G4:K4"/>
    <mergeCell ref="A15:B15"/>
    <mergeCell ref="A16:B16"/>
    <mergeCell ref="A17:B17"/>
    <mergeCell ref="A24:B24"/>
    <mergeCell ref="A22:B22"/>
    <mergeCell ref="A23:B23"/>
    <mergeCell ref="A27:B27"/>
    <mergeCell ref="M1:Z2"/>
    <mergeCell ref="M3:Z4"/>
    <mergeCell ref="A40:B40"/>
    <mergeCell ref="G6:K6"/>
    <mergeCell ref="M6:Q6"/>
    <mergeCell ref="S6:W6"/>
    <mergeCell ref="A28:B28"/>
    <mergeCell ref="A8:B8"/>
    <mergeCell ref="A9:B9"/>
    <mergeCell ref="A10:B10"/>
    <mergeCell ref="A11:B11"/>
    <mergeCell ref="A12:B12"/>
    <mergeCell ref="A13:B13"/>
    <mergeCell ref="A14:B14"/>
    <mergeCell ref="A30:B30"/>
    <mergeCell ref="Y6:Z6"/>
    <mergeCell ref="A18:B18"/>
    <mergeCell ref="A19:B19"/>
    <mergeCell ref="A20:B20"/>
    <mergeCell ref="A21:B21"/>
    <mergeCell ref="C6:F6"/>
    <mergeCell ref="A7:B7"/>
  </mergeCells>
  <conditionalFormatting sqref="L8:L27">
    <cfRule type="expression" dxfId="201" priority="64" stopIfTrue="1">
      <formula>AND(L$3=1)</formula>
    </cfRule>
  </conditionalFormatting>
  <conditionalFormatting sqref="L28">
    <cfRule type="expression" dxfId="200" priority="60" stopIfTrue="1">
      <formula>AND(L$3=1)</formula>
    </cfRule>
  </conditionalFormatting>
  <conditionalFormatting sqref="F8:F27">
    <cfRule type="expression" dxfId="199" priority="56">
      <formula>AND($D8+$E8&gt;0)</formula>
    </cfRule>
    <cfRule type="expression" dxfId="198" priority="57">
      <formula>AND($C8&gt;0)</formula>
    </cfRule>
    <cfRule type="expression" dxfId="197" priority="58">
      <formula>AND($D8+$E8=0)</formula>
    </cfRule>
  </conditionalFormatting>
  <conditionalFormatting sqref="S8:W27">
    <cfRule type="expression" dxfId="196" priority="39" stopIfTrue="1">
      <formula>AND(S8&gt;0,G$3=1)</formula>
    </cfRule>
  </conditionalFormatting>
  <conditionalFormatting sqref="M8:Q27">
    <cfRule type="expression" dxfId="195" priority="41" stopIfTrue="1">
      <formula>AND(G8=M8,G$3=1)</formula>
    </cfRule>
  </conditionalFormatting>
  <conditionalFormatting sqref="G8:K27">
    <cfRule type="expression" dxfId="194" priority="35" stopIfTrue="1">
      <formula>AND(G$3=1)</formula>
    </cfRule>
  </conditionalFormatting>
  <conditionalFormatting sqref="A8">
    <cfRule type="duplicateValues" dxfId="193" priority="34"/>
  </conditionalFormatting>
  <conditionalFormatting sqref="Z8:Z27">
    <cfRule type="expression" dxfId="192" priority="26" stopIfTrue="1">
      <formula>AND(Z8&gt;0)</formula>
    </cfRule>
  </conditionalFormatting>
  <conditionalFormatting sqref="Y8:Y27">
    <cfRule type="expression" dxfId="191" priority="25" stopIfTrue="1">
      <formula>AND(#REF!=1)</formula>
    </cfRule>
  </conditionalFormatting>
  <conditionalFormatting sqref="Y28:Z28">
    <cfRule type="expression" dxfId="190" priority="24" stopIfTrue="1">
      <formula>AND(#REF!=0)</formula>
    </cfRule>
  </conditionalFormatting>
  <conditionalFormatting sqref="S28:W28">
    <cfRule type="expression" dxfId="189" priority="23" stopIfTrue="1">
      <formula>AND(#REF!=0)</formula>
    </cfRule>
  </conditionalFormatting>
  <conditionalFormatting sqref="M28:Q28">
    <cfRule type="expression" dxfId="188" priority="22" stopIfTrue="1">
      <formula>AND(#REF!=0)</formula>
    </cfRule>
  </conditionalFormatting>
  <conditionalFormatting sqref="G28:K28">
    <cfRule type="expression" dxfId="187" priority="21" stopIfTrue="1">
      <formula>AND(#REF!=0)</formula>
    </cfRule>
  </conditionalFormatting>
  <conditionalFormatting sqref="A9">
    <cfRule type="duplicateValues" dxfId="186" priority="18"/>
  </conditionalFormatting>
  <conditionalFormatting sqref="A10">
    <cfRule type="duplicateValues" dxfId="185" priority="17"/>
  </conditionalFormatting>
  <conditionalFormatting sqref="A11">
    <cfRule type="duplicateValues" dxfId="184" priority="16"/>
  </conditionalFormatting>
  <conditionalFormatting sqref="A12">
    <cfRule type="duplicateValues" dxfId="183" priority="15"/>
  </conditionalFormatting>
  <conditionalFormatting sqref="A13">
    <cfRule type="duplicateValues" dxfId="182" priority="14"/>
  </conditionalFormatting>
  <conditionalFormatting sqref="A14">
    <cfRule type="duplicateValues" dxfId="181" priority="13"/>
  </conditionalFormatting>
  <conditionalFormatting sqref="A15">
    <cfRule type="duplicateValues" dxfId="180" priority="12"/>
  </conditionalFormatting>
  <conditionalFormatting sqref="A16">
    <cfRule type="duplicateValues" dxfId="179" priority="11"/>
  </conditionalFormatting>
  <conditionalFormatting sqref="A17">
    <cfRule type="duplicateValues" dxfId="178" priority="10"/>
  </conditionalFormatting>
  <conditionalFormatting sqref="A18">
    <cfRule type="duplicateValues" dxfId="177" priority="9"/>
  </conditionalFormatting>
  <conditionalFormatting sqref="A19">
    <cfRule type="duplicateValues" dxfId="176" priority="8"/>
  </conditionalFormatting>
  <conditionalFormatting sqref="A20">
    <cfRule type="duplicateValues" dxfId="175" priority="7"/>
  </conditionalFormatting>
  <conditionalFormatting sqref="A21">
    <cfRule type="duplicateValues" dxfId="174" priority="6"/>
  </conditionalFormatting>
  <conditionalFormatting sqref="A22">
    <cfRule type="duplicateValues" dxfId="173" priority="5"/>
  </conditionalFormatting>
  <conditionalFormatting sqref="A23">
    <cfRule type="duplicateValues" dxfId="172" priority="4"/>
  </conditionalFormatting>
  <conditionalFormatting sqref="A24:A25">
    <cfRule type="duplicateValues" dxfId="171" priority="3"/>
  </conditionalFormatting>
  <conditionalFormatting sqref="A26:A27">
    <cfRule type="duplicateValues" dxfId="170" priority="2"/>
  </conditionalFormatting>
  <dataValidations disablePrompts="1" count="1">
    <dataValidation type="list" allowBlank="1" showDropDown="1" showInputMessage="1" showErrorMessage="1" sqref="G2:K2" xr:uid="{F807C17E-35E4-42C3-8001-4F4EE83022DE}">
      <formula1>"4h,24h,48h,1s,2s"</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51" id="{CEDDA8BB-B61E-4475-9D56-76FA3A9C66B2}">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A37</xm:sqref>
        </x14:conditionalFormatting>
        <x14:conditionalFormatting xmlns:xm="http://schemas.microsoft.com/office/excel/2006/main">
          <x14:cfRule type="iconSet" priority="50" id="{8D2CBE63-3DF2-4662-844D-6B55A1B0AAB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A38</xm:sqref>
        </x14:conditionalFormatting>
        <x14:conditionalFormatting xmlns:xm="http://schemas.microsoft.com/office/excel/2006/main">
          <x14:cfRule type="iconSet" priority="43" id="{4990065E-2882-42C6-9881-19F40CDB516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G3:K3</xm:sqref>
        </x14:conditionalFormatting>
        <x14:conditionalFormatting xmlns:xm="http://schemas.microsoft.com/office/excel/2006/main">
          <x14:cfRule type="iconSet" priority="6068" id="{06425E34-D16E-4D5D-AAC6-DA3470DB8F4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C8:E8 C10:E27 D9:E9</xm:sqref>
        </x14:conditionalFormatting>
        <x14:conditionalFormatting xmlns:xm="http://schemas.microsoft.com/office/excel/2006/main">
          <x14:cfRule type="iconSet" priority="1" id="{F4C9A24C-39F5-4D56-892A-36F727C706FA}">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EC0943B6-912F-4C12-9B10-4F745F00E09B}">
          <x14:formula1>
            <xm:f>#REF!</xm:f>
          </x14:formula1>
          <xm:sqref>G4:K4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pageSetUpPr fitToPage="1"/>
  </sheetPr>
  <dimension ref="A1:AC50"/>
  <sheetViews>
    <sheetView topLeftCell="A2" zoomScale="60" zoomScaleNormal="60" workbookViewId="0">
      <selection activeCell="B4" sqref="B4"/>
    </sheetView>
  </sheetViews>
  <sheetFormatPr baseColWidth="10" defaultColWidth="11" defaultRowHeight="15" x14ac:dyDescent="0.25"/>
  <cols>
    <col min="1" max="1" width="54" style="20" bestFit="1" customWidth="1"/>
    <col min="2" max="26" width="6" style="20" customWidth="1"/>
    <col min="27" max="29" width="16" style="20" customWidth="1"/>
    <col min="30" max="16384" width="11" style="20"/>
  </cols>
  <sheetData>
    <row r="1" spans="1:29" ht="23.25" hidden="1" customHeight="1" x14ac:dyDescent="0.25">
      <c r="A1" s="29" t="s">
        <v>140</v>
      </c>
      <c r="B1" s="20" t="s">
        <v>141</v>
      </c>
      <c r="C1" s="20" t="s">
        <v>141</v>
      </c>
      <c r="D1" s="20" t="s">
        <v>141</v>
      </c>
      <c r="E1" s="20" t="s">
        <v>141</v>
      </c>
      <c r="F1" s="20" t="s">
        <v>141</v>
      </c>
      <c r="G1" s="20" t="s">
        <v>142</v>
      </c>
      <c r="H1" s="20" t="s">
        <v>142</v>
      </c>
      <c r="I1" s="20" t="s">
        <v>142</v>
      </c>
      <c r="J1" s="20" t="s">
        <v>142</v>
      </c>
      <c r="K1" s="20" t="s">
        <v>142</v>
      </c>
      <c r="L1" s="20" t="s">
        <v>143</v>
      </c>
      <c r="M1" s="20" t="s">
        <v>143</v>
      </c>
      <c r="N1" s="20" t="s">
        <v>143</v>
      </c>
      <c r="O1" s="20" t="s">
        <v>143</v>
      </c>
      <c r="P1" s="20" t="s">
        <v>143</v>
      </c>
    </row>
    <row r="2" spans="1:29" ht="16.5" customHeight="1" x14ac:dyDescent="0.25">
      <c r="A2" s="135" t="s">
        <v>1145</v>
      </c>
      <c r="B2" s="136" t="s">
        <v>141</v>
      </c>
      <c r="C2" s="136"/>
      <c r="D2" s="136"/>
      <c r="E2" s="136"/>
      <c r="F2" s="136"/>
      <c r="G2" s="137" t="s">
        <v>142</v>
      </c>
      <c r="H2" s="137"/>
      <c r="I2" s="137"/>
      <c r="J2" s="137"/>
      <c r="K2" s="137"/>
      <c r="L2" s="138" t="s">
        <v>143</v>
      </c>
      <c r="M2" s="138"/>
      <c r="N2" s="138"/>
      <c r="O2" s="138"/>
      <c r="P2" s="138"/>
      <c r="Q2" s="139" t="s">
        <v>144</v>
      </c>
      <c r="R2" s="139"/>
      <c r="S2" s="139"/>
      <c r="T2" s="139"/>
      <c r="U2" s="139"/>
      <c r="V2" s="134" t="s">
        <v>145</v>
      </c>
      <c r="W2" s="134"/>
      <c r="X2" s="134"/>
      <c r="Y2" s="134"/>
      <c r="Z2" s="134"/>
      <c r="AA2" s="133" t="s">
        <v>146</v>
      </c>
      <c r="AB2" s="133"/>
      <c r="AC2" s="133"/>
    </row>
    <row r="3" spans="1:29" x14ac:dyDescent="0.25">
      <c r="A3" s="135"/>
      <c r="B3" s="56" t="s">
        <v>34</v>
      </c>
      <c r="C3" s="56" t="s">
        <v>55</v>
      </c>
      <c r="D3" s="56" t="s">
        <v>40</v>
      </c>
      <c r="E3" s="56" t="s">
        <v>41</v>
      </c>
      <c r="F3" s="56" t="s">
        <v>45</v>
      </c>
      <c r="G3" s="56" t="s">
        <v>34</v>
      </c>
      <c r="H3" s="56" t="s">
        <v>55</v>
      </c>
      <c r="I3" s="56" t="s">
        <v>40</v>
      </c>
      <c r="J3" s="56" t="s">
        <v>41</v>
      </c>
      <c r="K3" s="56" t="s">
        <v>45</v>
      </c>
      <c r="L3" s="56" t="s">
        <v>34</v>
      </c>
      <c r="M3" s="56" t="s">
        <v>55</v>
      </c>
      <c r="N3" s="56" t="s">
        <v>40</v>
      </c>
      <c r="O3" s="56" t="s">
        <v>41</v>
      </c>
      <c r="P3" s="56" t="s">
        <v>45</v>
      </c>
      <c r="Q3" s="56" t="s">
        <v>34</v>
      </c>
      <c r="R3" s="56" t="s">
        <v>55</v>
      </c>
      <c r="S3" s="56" t="s">
        <v>40</v>
      </c>
      <c r="T3" s="56" t="s">
        <v>41</v>
      </c>
      <c r="U3" s="56" t="s">
        <v>45</v>
      </c>
      <c r="V3" s="56" t="s">
        <v>34</v>
      </c>
      <c r="W3" s="56" t="s">
        <v>55</v>
      </c>
      <c r="X3" s="56" t="s">
        <v>40</v>
      </c>
      <c r="Y3" s="56" t="s">
        <v>41</v>
      </c>
      <c r="Z3" s="56" t="s">
        <v>45</v>
      </c>
      <c r="AA3" s="57" t="s">
        <v>147</v>
      </c>
      <c r="AB3" s="57" t="s">
        <v>148</v>
      </c>
      <c r="AC3" s="57" t="s">
        <v>149</v>
      </c>
    </row>
    <row r="4" spans="1:29" ht="16.5" customHeight="1" x14ac:dyDescent="0.25">
      <c r="A4" s="30" t="s">
        <v>1122</v>
      </c>
      <c r="B4" s="23">
        <f>SUM('Resumen por Ubicación'!$B29:B29)</f>
        <v>1</v>
      </c>
      <c r="C4" s="23">
        <f>SUM('Resumen por Ubicación'!$B29:C29)</f>
        <v>1</v>
      </c>
      <c r="D4" s="23">
        <f>SUM('Resumen por Ubicación'!$B29:D29)</f>
        <v>1</v>
      </c>
      <c r="E4" s="23">
        <f>SUM('Resumen por Ubicación'!$B29:E29)</f>
        <v>1</v>
      </c>
      <c r="F4" s="23">
        <f>SUM('Resumen por Ubicación'!$B29:F29)</f>
        <v>1</v>
      </c>
      <c r="G4" s="23">
        <f>SUM('Resumen por Ubicación'!$G29:G29)</f>
        <v>0</v>
      </c>
      <c r="H4" s="23">
        <f>SUM('Resumen por Ubicación'!$G29:H29)</f>
        <v>0</v>
      </c>
      <c r="I4" s="23">
        <f>SUM('Resumen por Ubicación'!$G29:I29)</f>
        <v>0</v>
      </c>
      <c r="J4" s="23">
        <f>SUM('Resumen por Ubicación'!$G29:J29)</f>
        <v>0</v>
      </c>
      <c r="K4" s="23">
        <f>SUM('Resumen por Ubicación'!$G29:K29)</f>
        <v>0</v>
      </c>
      <c r="L4" s="23">
        <f>SUM('Resumen por Ubicación'!$L29:L29)</f>
        <v>0</v>
      </c>
      <c r="M4" s="23">
        <f>SUM('Resumen por Ubicación'!$L29:M29)</f>
        <v>0</v>
      </c>
      <c r="N4" s="23">
        <f>SUM('Resumen por Ubicación'!$L29:N29)</f>
        <v>0</v>
      </c>
      <c r="O4" s="23">
        <f>SUM('Resumen por Ubicación'!$L29:O29)</f>
        <v>0</v>
      </c>
      <c r="P4" s="23">
        <f>SUM('Resumen por Ubicación'!$L29:P29)</f>
        <v>0</v>
      </c>
      <c r="Q4" s="23">
        <f>SUM('Resumen por Ubicación'!$Q29:Q29)</f>
        <v>0</v>
      </c>
      <c r="R4" s="23">
        <f>SUM('Resumen por Ubicación'!$Q29:R29)</f>
        <v>0</v>
      </c>
      <c r="S4" s="23">
        <f>SUM('Resumen por Ubicación'!$Q29:S29)</f>
        <v>0</v>
      </c>
      <c r="T4" s="23">
        <f>SUM('Resumen por Ubicación'!$Q29:T29)</f>
        <v>0</v>
      </c>
      <c r="U4" s="23">
        <f>SUM('Resumen por Ubicación'!$Q29:U29)</f>
        <v>0</v>
      </c>
      <c r="V4" s="23">
        <f>SUM('Resumen por Ubicación'!$V29:V29)</f>
        <v>1</v>
      </c>
      <c r="W4" s="23">
        <f>SUM('Resumen por Ubicación'!$V29:W29)</f>
        <v>1</v>
      </c>
      <c r="X4" s="23">
        <f>SUM('Resumen por Ubicación'!$V29:X29)</f>
        <v>1</v>
      </c>
      <c r="Y4" s="23">
        <f>SUM('Resumen por Ubicación'!$V29:Y29)</f>
        <v>1</v>
      </c>
      <c r="Z4" s="23">
        <f>SUM('Resumen por Ubicación'!$V29:Z29)</f>
        <v>1</v>
      </c>
      <c r="AA4" s="23">
        <f t="shared" ref="AA4:AA23" si="0">COUNTIFS(EQUIPOS,$A4,CRITICIDAD,"Backup1")+COUNTIFS(EQUIPOS,$A4,CRITICIDAD,"Backup2")+COUNTIFS(EQUIPOS,$A4,CRITICIDAD,"Backup3")</f>
        <v>2</v>
      </c>
      <c r="AB4" s="23">
        <f t="shared" ref="AB4:AB23" si="1">COUNTIFS(EQUIPOS,$A4,CRITICIDAD,"Ext. Área")</f>
        <v>0</v>
      </c>
      <c r="AC4" s="23">
        <f t="shared" ref="AC4:AC23" si="2">COUNTIFS(EQUIPOS,$A4,CRITICIDAD,"Ext. HRE")</f>
        <v>0</v>
      </c>
    </row>
    <row r="5" spans="1:29" ht="16.5" customHeight="1" x14ac:dyDescent="0.25">
      <c r="A5" s="30" t="s">
        <v>1123</v>
      </c>
      <c r="B5" s="23">
        <f>SUM('Resumen por Ubicación'!$B30:B30)</f>
        <v>0</v>
      </c>
      <c r="C5" s="23">
        <f>SUM('Resumen por Ubicación'!$B30:C30)</f>
        <v>0</v>
      </c>
      <c r="D5" s="23">
        <f>SUM('Resumen por Ubicación'!$B30:D30)</f>
        <v>1</v>
      </c>
      <c r="E5" s="23">
        <f>SUM('Resumen por Ubicación'!$B30:E30)</f>
        <v>4</v>
      </c>
      <c r="F5" s="23">
        <f>SUM('Resumen por Ubicación'!$B30:F30)</f>
        <v>4</v>
      </c>
      <c r="G5" s="23">
        <f>SUM('Resumen por Ubicación'!$G30:G30)</f>
        <v>1</v>
      </c>
      <c r="H5" s="23">
        <f>SUM('Resumen por Ubicación'!$G30:H30)</f>
        <v>1</v>
      </c>
      <c r="I5" s="23">
        <f>SUM('Resumen por Ubicación'!$G30:I30)</f>
        <v>1</v>
      </c>
      <c r="J5" s="23">
        <f>SUM('Resumen por Ubicación'!$G30:J30)</f>
        <v>1</v>
      </c>
      <c r="K5" s="23">
        <f>SUM('Resumen por Ubicación'!$G30:K30)</f>
        <v>1</v>
      </c>
      <c r="L5" s="23">
        <f>SUM('Resumen por Ubicación'!$L30:L30)</f>
        <v>0</v>
      </c>
      <c r="M5" s="23">
        <f>SUM('Resumen por Ubicación'!$L30:M30)</f>
        <v>0</v>
      </c>
      <c r="N5" s="23">
        <f>SUM('Resumen por Ubicación'!$L30:N30)</f>
        <v>0</v>
      </c>
      <c r="O5" s="23">
        <f>SUM('Resumen por Ubicación'!$L30:O30)</f>
        <v>0</v>
      </c>
      <c r="P5" s="23">
        <f>SUM('Resumen por Ubicación'!$L30:P30)</f>
        <v>0</v>
      </c>
      <c r="Q5" s="23">
        <f>SUM('Resumen por Ubicación'!$Q30:Q30)</f>
        <v>1</v>
      </c>
      <c r="R5" s="23">
        <f>SUM('Resumen por Ubicación'!$Q30:R30)</f>
        <v>1</v>
      </c>
      <c r="S5" s="23">
        <f>SUM('Resumen por Ubicación'!$Q30:S30)</f>
        <v>1</v>
      </c>
      <c r="T5" s="23">
        <f>SUM('Resumen por Ubicación'!$Q30:T30)</f>
        <v>1</v>
      </c>
      <c r="U5" s="23">
        <f>SUM('Resumen por Ubicación'!$Q30:U30)</f>
        <v>1</v>
      </c>
      <c r="V5" s="23">
        <f>SUM('Resumen por Ubicación'!$V30:V30)</f>
        <v>2</v>
      </c>
      <c r="W5" s="23">
        <f>SUM('Resumen por Ubicación'!$V30:W30)</f>
        <v>2</v>
      </c>
      <c r="X5" s="23">
        <f>SUM('Resumen por Ubicación'!$V30:X30)</f>
        <v>3</v>
      </c>
      <c r="Y5" s="23">
        <f>SUM('Resumen por Ubicación'!$V30:Y30)</f>
        <v>6</v>
      </c>
      <c r="Z5" s="23">
        <f>SUM('Resumen por Ubicación'!$V30:Z30)</f>
        <v>6</v>
      </c>
      <c r="AA5" s="23">
        <f t="shared" si="0"/>
        <v>6</v>
      </c>
      <c r="AB5" s="23">
        <f t="shared" si="1"/>
        <v>0</v>
      </c>
      <c r="AC5" s="23">
        <f t="shared" si="2"/>
        <v>2</v>
      </c>
    </row>
    <row r="6" spans="1:29" ht="16.5" customHeight="1" x14ac:dyDescent="0.25">
      <c r="A6" s="30" t="s">
        <v>1125</v>
      </c>
      <c r="B6" s="23">
        <f>SUM('Resumen por Ubicación'!$B31:B31)</f>
        <v>0</v>
      </c>
      <c r="C6" s="23">
        <f>SUM('Resumen por Ubicación'!$B31:C31)</f>
        <v>1</v>
      </c>
      <c r="D6" s="23">
        <f>SUM('Resumen por Ubicación'!$B31:D31)</f>
        <v>2</v>
      </c>
      <c r="E6" s="23">
        <f>SUM('Resumen por Ubicación'!$B31:E31)</f>
        <v>2</v>
      </c>
      <c r="F6" s="23">
        <f>SUM('Resumen por Ubicación'!$B31:F31)</f>
        <v>2</v>
      </c>
      <c r="G6" s="23">
        <f>SUM('Resumen por Ubicación'!$G31:G31)</f>
        <v>0</v>
      </c>
      <c r="H6" s="23">
        <f>SUM('Resumen por Ubicación'!$G31:H31)</f>
        <v>1</v>
      </c>
      <c r="I6" s="23">
        <f>SUM('Resumen por Ubicación'!$G31:I31)</f>
        <v>2</v>
      </c>
      <c r="J6" s="23">
        <f>SUM('Resumen por Ubicación'!$G31:J31)</f>
        <v>2</v>
      </c>
      <c r="K6" s="23">
        <f>SUM('Resumen por Ubicación'!$G31:K31)</f>
        <v>2</v>
      </c>
      <c r="L6" s="23">
        <f>SUM('Resumen por Ubicación'!$L31:L31)</f>
        <v>0</v>
      </c>
      <c r="M6" s="23">
        <f>SUM('Resumen por Ubicación'!$L31:M31)</f>
        <v>0</v>
      </c>
      <c r="N6" s="23">
        <f>SUM('Resumen por Ubicación'!$L31:N31)</f>
        <v>1</v>
      </c>
      <c r="O6" s="23">
        <f>SUM('Resumen por Ubicación'!$L31:O31)</f>
        <v>1</v>
      </c>
      <c r="P6" s="23">
        <f>SUM('Resumen por Ubicación'!$L31:P31)</f>
        <v>1</v>
      </c>
      <c r="Q6" s="23">
        <f>SUM('Resumen por Ubicación'!$Q31:Q31)</f>
        <v>0</v>
      </c>
      <c r="R6" s="23">
        <f>SUM('Resumen por Ubicación'!$Q31:R31)</f>
        <v>0</v>
      </c>
      <c r="S6" s="23">
        <f>SUM('Resumen por Ubicación'!$Q31:S31)</f>
        <v>0</v>
      </c>
      <c r="T6" s="23">
        <f>SUM('Resumen por Ubicación'!$Q31:T31)</f>
        <v>0</v>
      </c>
      <c r="U6" s="23">
        <f>SUM('Resumen por Ubicación'!$Q31:U31)</f>
        <v>0</v>
      </c>
      <c r="V6" s="23">
        <f>SUM('Resumen por Ubicación'!$V31:V31)</f>
        <v>0</v>
      </c>
      <c r="W6" s="23">
        <f>SUM('Resumen por Ubicación'!$V31:W31)</f>
        <v>2</v>
      </c>
      <c r="X6" s="23">
        <f>SUM('Resumen por Ubicación'!$V31:X31)</f>
        <v>5</v>
      </c>
      <c r="Y6" s="23">
        <f>SUM('Resumen por Ubicación'!$V31:Y31)</f>
        <v>5</v>
      </c>
      <c r="Z6" s="23">
        <f>SUM('Resumen por Ubicación'!$V31:Z31)</f>
        <v>5</v>
      </c>
      <c r="AA6" s="23">
        <f t="shared" si="0"/>
        <v>1</v>
      </c>
      <c r="AB6" s="23">
        <f t="shared" si="1"/>
        <v>0</v>
      </c>
      <c r="AC6" s="23">
        <f t="shared" si="2"/>
        <v>0</v>
      </c>
    </row>
    <row r="7" spans="1:29" ht="16.5" customHeight="1" x14ac:dyDescent="0.25">
      <c r="A7" s="30" t="s">
        <v>1126</v>
      </c>
      <c r="B7" s="23">
        <f>SUM('Resumen por Ubicación'!$B32:B32)</f>
        <v>0</v>
      </c>
      <c r="C7" s="23">
        <f>SUM('Resumen por Ubicación'!$B32:C32)</f>
        <v>0</v>
      </c>
      <c r="D7" s="23">
        <f>SUM('Resumen por Ubicación'!$B32:D32)</f>
        <v>0</v>
      </c>
      <c r="E7" s="23">
        <f>SUM('Resumen por Ubicación'!$B32:E32)</f>
        <v>0</v>
      </c>
      <c r="F7" s="23">
        <f>SUM('Resumen por Ubicación'!$B32:F32)</f>
        <v>0</v>
      </c>
      <c r="G7" s="23">
        <f>SUM('Resumen por Ubicación'!$G32:G32)</f>
        <v>0</v>
      </c>
      <c r="H7" s="23">
        <f>SUM('Resumen por Ubicación'!$G32:H32)</f>
        <v>5</v>
      </c>
      <c r="I7" s="23">
        <f>SUM('Resumen por Ubicación'!$G32:I32)</f>
        <v>7</v>
      </c>
      <c r="J7" s="23">
        <f>SUM('Resumen por Ubicación'!$G32:J32)</f>
        <v>8</v>
      </c>
      <c r="K7" s="23">
        <f>SUM('Resumen por Ubicación'!$G32:K32)</f>
        <v>10</v>
      </c>
      <c r="L7" s="23">
        <f>SUM('Resumen por Ubicación'!$L32:L32)</f>
        <v>0</v>
      </c>
      <c r="M7" s="23">
        <f>SUM('Resumen por Ubicación'!$L32:M32)</f>
        <v>2</v>
      </c>
      <c r="N7" s="23">
        <f>SUM('Resumen por Ubicación'!$L32:N32)</f>
        <v>5</v>
      </c>
      <c r="O7" s="23">
        <f>SUM('Resumen por Ubicación'!$L32:O32)</f>
        <v>7</v>
      </c>
      <c r="P7" s="23">
        <f>SUM('Resumen por Ubicación'!$L32:P32)</f>
        <v>9</v>
      </c>
      <c r="Q7" s="23">
        <f>SUM('Resumen por Ubicación'!$Q32:Q32)</f>
        <v>0</v>
      </c>
      <c r="R7" s="23">
        <f>SUM('Resumen por Ubicación'!$Q32:R32)</f>
        <v>0</v>
      </c>
      <c r="S7" s="23">
        <f>SUM('Resumen por Ubicación'!$Q32:S32)</f>
        <v>0</v>
      </c>
      <c r="T7" s="23">
        <f>SUM('Resumen por Ubicación'!$Q32:T32)</f>
        <v>0</v>
      </c>
      <c r="U7" s="23">
        <f>SUM('Resumen por Ubicación'!$Q32:U32)</f>
        <v>0</v>
      </c>
      <c r="V7" s="23">
        <f>SUM('Resumen por Ubicación'!$V32:V32)</f>
        <v>0</v>
      </c>
      <c r="W7" s="23">
        <f>SUM('Resumen por Ubicación'!$V32:W32)</f>
        <v>7</v>
      </c>
      <c r="X7" s="23">
        <f>SUM('Resumen por Ubicación'!$V32:X32)</f>
        <v>12</v>
      </c>
      <c r="Y7" s="23">
        <f>SUM('Resumen por Ubicación'!$V32:Y32)</f>
        <v>15</v>
      </c>
      <c r="Z7" s="23">
        <f>SUM('Resumen por Ubicación'!$V32:Z32)</f>
        <v>19</v>
      </c>
      <c r="AA7" s="23">
        <f t="shared" si="0"/>
        <v>4</v>
      </c>
      <c r="AB7" s="23">
        <f t="shared" si="1"/>
        <v>0</v>
      </c>
      <c r="AC7" s="23">
        <f t="shared" si="2"/>
        <v>0</v>
      </c>
    </row>
    <row r="8" spans="1:29" ht="16.5" customHeight="1" x14ac:dyDescent="0.25">
      <c r="A8" s="30" t="s">
        <v>1127</v>
      </c>
      <c r="B8" s="23">
        <f>SUM('Resumen por Ubicación'!$B33:B33)</f>
        <v>0</v>
      </c>
      <c r="C8" s="23">
        <f>SUM('Resumen por Ubicación'!$B33:C33)</f>
        <v>0</v>
      </c>
      <c r="D8" s="23">
        <f>SUM('Resumen por Ubicación'!$B33:D33)</f>
        <v>0</v>
      </c>
      <c r="E8" s="23">
        <f>SUM('Resumen por Ubicación'!$B33:E33)</f>
        <v>4</v>
      </c>
      <c r="F8" s="23">
        <f>SUM('Resumen por Ubicación'!$B33:F33)</f>
        <v>5</v>
      </c>
      <c r="G8" s="23">
        <f>SUM('Resumen por Ubicación'!$G33:G33)</f>
        <v>0</v>
      </c>
      <c r="H8" s="23">
        <f>SUM('Resumen por Ubicación'!$G33:H33)</f>
        <v>0</v>
      </c>
      <c r="I8" s="23">
        <f>SUM('Resumen por Ubicación'!$G33:I33)</f>
        <v>0</v>
      </c>
      <c r="J8" s="23">
        <f>SUM('Resumen por Ubicación'!$G33:J33)</f>
        <v>1</v>
      </c>
      <c r="K8" s="23">
        <f>SUM('Resumen por Ubicación'!$G33:K33)</f>
        <v>2</v>
      </c>
      <c r="L8" s="23">
        <f>SUM('Resumen por Ubicación'!$L33:L33)</f>
        <v>0</v>
      </c>
      <c r="M8" s="23">
        <f>SUM('Resumen por Ubicación'!$L33:M33)</f>
        <v>0</v>
      </c>
      <c r="N8" s="23">
        <f>SUM('Resumen por Ubicación'!$L33:N33)</f>
        <v>0</v>
      </c>
      <c r="O8" s="23">
        <f>SUM('Resumen por Ubicación'!$L33:O33)</f>
        <v>0</v>
      </c>
      <c r="P8" s="23">
        <f>SUM('Resumen por Ubicación'!$L33:P33)</f>
        <v>0</v>
      </c>
      <c r="Q8" s="23">
        <f>SUM('Resumen por Ubicación'!$Q33:Q33)</f>
        <v>0</v>
      </c>
      <c r="R8" s="23">
        <f>SUM('Resumen por Ubicación'!$Q33:R33)</f>
        <v>0</v>
      </c>
      <c r="S8" s="23">
        <f>SUM('Resumen por Ubicación'!$Q33:S33)</f>
        <v>0</v>
      </c>
      <c r="T8" s="23">
        <f>SUM('Resumen por Ubicación'!$Q33:T33)</f>
        <v>0</v>
      </c>
      <c r="U8" s="23">
        <f>SUM('Resumen por Ubicación'!$Q33:U33)</f>
        <v>0</v>
      </c>
      <c r="V8" s="23">
        <f>SUM('Resumen por Ubicación'!$V33:V33)</f>
        <v>0</v>
      </c>
      <c r="W8" s="23">
        <f>SUM('Resumen por Ubicación'!$V33:W33)</f>
        <v>0</v>
      </c>
      <c r="X8" s="23">
        <f>SUM('Resumen por Ubicación'!$V33:X33)</f>
        <v>0</v>
      </c>
      <c r="Y8" s="23">
        <f>SUM('Resumen por Ubicación'!$V33:Y33)</f>
        <v>5</v>
      </c>
      <c r="Z8" s="23">
        <f>SUM('Resumen por Ubicación'!$V33:Z33)</f>
        <v>7</v>
      </c>
      <c r="AA8" s="23">
        <f t="shared" si="0"/>
        <v>2</v>
      </c>
      <c r="AB8" s="23">
        <f t="shared" si="1"/>
        <v>2</v>
      </c>
      <c r="AC8" s="23">
        <f t="shared" si="2"/>
        <v>0</v>
      </c>
    </row>
    <row r="9" spans="1:29" ht="16.5" customHeight="1" x14ac:dyDescent="0.25">
      <c r="A9" s="30" t="s">
        <v>1138</v>
      </c>
      <c r="B9" s="23">
        <f>SUM('Resumen por Ubicación'!$B34:B34)</f>
        <v>0</v>
      </c>
      <c r="C9" s="23">
        <f>SUM('Resumen por Ubicación'!$B34:C34)</f>
        <v>0</v>
      </c>
      <c r="D9" s="23">
        <f>SUM('Resumen por Ubicación'!$B34:D34)</f>
        <v>0</v>
      </c>
      <c r="E9" s="23">
        <f>SUM('Resumen por Ubicación'!$B34:E34)</f>
        <v>0</v>
      </c>
      <c r="F9" s="23">
        <f>SUM('Resumen por Ubicación'!$B34:F34)</f>
        <v>0</v>
      </c>
      <c r="G9" s="23">
        <f>SUM('Resumen por Ubicación'!$G34:G34)</f>
        <v>0</v>
      </c>
      <c r="H9" s="23">
        <f>SUM('Resumen por Ubicación'!$G34:H34)</f>
        <v>0</v>
      </c>
      <c r="I9" s="23">
        <f>SUM('Resumen por Ubicación'!$G34:I34)</f>
        <v>0</v>
      </c>
      <c r="J9" s="23">
        <f>SUM('Resumen por Ubicación'!$G34:J34)</f>
        <v>0</v>
      </c>
      <c r="K9" s="23">
        <f>SUM('Resumen por Ubicación'!$G34:K34)</f>
        <v>0</v>
      </c>
      <c r="L9" s="23">
        <f>SUM('Resumen por Ubicación'!$L34:L34)</f>
        <v>0</v>
      </c>
      <c r="M9" s="23">
        <f>SUM('Resumen por Ubicación'!$L34:M34)</f>
        <v>0</v>
      </c>
      <c r="N9" s="23">
        <f>SUM('Resumen por Ubicación'!$L34:N34)</f>
        <v>0</v>
      </c>
      <c r="O9" s="23">
        <f>SUM('Resumen por Ubicación'!$L34:O34)</f>
        <v>0</v>
      </c>
      <c r="P9" s="23">
        <f>SUM('Resumen por Ubicación'!$L34:P34)</f>
        <v>0</v>
      </c>
      <c r="Q9" s="23">
        <f>SUM('Resumen por Ubicación'!$Q34:Q34)</f>
        <v>0</v>
      </c>
      <c r="R9" s="23">
        <f>SUM('Resumen por Ubicación'!$Q34:R34)</f>
        <v>0</v>
      </c>
      <c r="S9" s="23">
        <f>SUM('Resumen por Ubicación'!$Q34:S34)</f>
        <v>0</v>
      </c>
      <c r="T9" s="23">
        <f>SUM('Resumen por Ubicación'!$Q34:T34)</f>
        <v>0</v>
      </c>
      <c r="U9" s="23">
        <f>SUM('Resumen por Ubicación'!$Q34:U34)</f>
        <v>0</v>
      </c>
      <c r="V9" s="23">
        <f>SUM('Resumen por Ubicación'!$V34:V34)</f>
        <v>0</v>
      </c>
      <c r="W9" s="23">
        <f>SUM('Resumen por Ubicación'!$V34:W34)</f>
        <v>0</v>
      </c>
      <c r="X9" s="23">
        <f>SUM('Resumen por Ubicación'!$V34:X34)</f>
        <v>0</v>
      </c>
      <c r="Y9" s="23">
        <f>SUM('Resumen por Ubicación'!$V34:Y34)</f>
        <v>0</v>
      </c>
      <c r="Z9" s="23">
        <f>SUM('Resumen por Ubicación'!$V34:Z34)</f>
        <v>0</v>
      </c>
      <c r="AA9" s="23">
        <f t="shared" si="0"/>
        <v>0</v>
      </c>
      <c r="AB9" s="23">
        <f t="shared" si="1"/>
        <v>0</v>
      </c>
      <c r="AC9" s="23">
        <f t="shared" si="2"/>
        <v>0</v>
      </c>
    </row>
    <row r="10" spans="1:29" ht="16.5" customHeight="1" x14ac:dyDescent="0.25">
      <c r="A10" s="30" t="s">
        <v>1128</v>
      </c>
      <c r="B10" s="23">
        <f>SUM('Resumen por Ubicación'!$B35:B35)</f>
        <v>0</v>
      </c>
      <c r="C10" s="23">
        <f>SUM('Resumen por Ubicación'!$B35:C35)</f>
        <v>0</v>
      </c>
      <c r="D10" s="23">
        <f>SUM('Resumen por Ubicación'!$B35:D35)</f>
        <v>1</v>
      </c>
      <c r="E10" s="23">
        <f>SUM('Resumen por Ubicación'!$B35:E35)</f>
        <v>4</v>
      </c>
      <c r="F10" s="23">
        <f>SUM('Resumen por Ubicación'!$B35:F35)</f>
        <v>4</v>
      </c>
      <c r="G10" s="23">
        <f>SUM('Resumen por Ubicación'!$G35:G35)</f>
        <v>0</v>
      </c>
      <c r="H10" s="23">
        <f>SUM('Resumen por Ubicación'!$G35:H35)</f>
        <v>0</v>
      </c>
      <c r="I10" s="23">
        <f>SUM('Resumen por Ubicación'!$G35:I35)</f>
        <v>0</v>
      </c>
      <c r="J10" s="23">
        <f>SUM('Resumen por Ubicación'!$G35:J35)</f>
        <v>0</v>
      </c>
      <c r="K10" s="23">
        <f>SUM('Resumen por Ubicación'!$G35:K35)</f>
        <v>0</v>
      </c>
      <c r="L10" s="23">
        <f>SUM('Resumen por Ubicación'!$L35:L35)</f>
        <v>0</v>
      </c>
      <c r="M10" s="23">
        <f>SUM('Resumen por Ubicación'!$L35:M35)</f>
        <v>0</v>
      </c>
      <c r="N10" s="23">
        <f>SUM('Resumen por Ubicación'!$L35:N35)</f>
        <v>0</v>
      </c>
      <c r="O10" s="23">
        <f>SUM('Resumen por Ubicación'!$L35:O35)</f>
        <v>0</v>
      </c>
      <c r="P10" s="23">
        <f>SUM('Resumen por Ubicación'!$L35:P35)</f>
        <v>0</v>
      </c>
      <c r="Q10" s="23">
        <f>SUM('Resumen por Ubicación'!$Q35:Q35)</f>
        <v>0</v>
      </c>
      <c r="R10" s="23">
        <f>SUM('Resumen por Ubicación'!$Q35:R35)</f>
        <v>0</v>
      </c>
      <c r="S10" s="23">
        <f>SUM('Resumen por Ubicación'!$Q35:S35)</f>
        <v>0</v>
      </c>
      <c r="T10" s="23">
        <f>SUM('Resumen por Ubicación'!$Q35:T35)</f>
        <v>0</v>
      </c>
      <c r="U10" s="23">
        <f>SUM('Resumen por Ubicación'!$Q35:U35)</f>
        <v>0</v>
      </c>
      <c r="V10" s="23">
        <f>SUM('Resumen por Ubicación'!$V35:V35)</f>
        <v>0</v>
      </c>
      <c r="W10" s="23">
        <f>SUM('Resumen por Ubicación'!$V35:W35)</f>
        <v>0</v>
      </c>
      <c r="X10" s="23">
        <f>SUM('Resumen por Ubicación'!$V35:X35)</f>
        <v>1</v>
      </c>
      <c r="Y10" s="23">
        <f>SUM('Resumen por Ubicación'!$V35:Y35)</f>
        <v>4</v>
      </c>
      <c r="Z10" s="23">
        <f>SUM('Resumen por Ubicación'!$V35:Z35)</f>
        <v>4</v>
      </c>
      <c r="AA10" s="23">
        <f t="shared" si="0"/>
        <v>4</v>
      </c>
      <c r="AB10" s="23">
        <f t="shared" si="1"/>
        <v>0</v>
      </c>
      <c r="AC10" s="23">
        <f t="shared" si="2"/>
        <v>0</v>
      </c>
    </row>
    <row r="11" spans="1:29" ht="16.5" customHeight="1" x14ac:dyDescent="0.25">
      <c r="A11" s="30" t="s">
        <v>1121</v>
      </c>
      <c r="B11" s="23">
        <f>SUM('Resumen por Ubicación'!$B36:B36)</f>
        <v>0</v>
      </c>
      <c r="C11" s="23">
        <f>SUM('Resumen por Ubicación'!$B36:C36)</f>
        <v>1</v>
      </c>
      <c r="D11" s="23">
        <f>SUM('Resumen por Ubicación'!$B36:D36)</f>
        <v>1</v>
      </c>
      <c r="E11" s="23">
        <f>SUM('Resumen por Ubicación'!$B36:E36)</f>
        <v>1</v>
      </c>
      <c r="F11" s="23">
        <f>SUM('Resumen por Ubicación'!$B36:F36)</f>
        <v>3</v>
      </c>
      <c r="G11" s="23">
        <f>SUM('Resumen por Ubicación'!$G36:G36)</f>
        <v>0</v>
      </c>
      <c r="H11" s="23">
        <f>SUM('Resumen por Ubicación'!$G36:H36)</f>
        <v>0</v>
      </c>
      <c r="I11" s="23">
        <f>SUM('Resumen por Ubicación'!$G36:I36)</f>
        <v>0</v>
      </c>
      <c r="J11" s="23">
        <f>SUM('Resumen por Ubicación'!$G36:J36)</f>
        <v>0</v>
      </c>
      <c r="K11" s="23">
        <f>SUM('Resumen por Ubicación'!$G36:K36)</f>
        <v>0</v>
      </c>
      <c r="L11" s="23">
        <f>SUM('Resumen por Ubicación'!$L36:L36)</f>
        <v>0</v>
      </c>
      <c r="M11" s="23">
        <f>SUM('Resumen por Ubicación'!$L36:M36)</f>
        <v>0</v>
      </c>
      <c r="N11" s="23">
        <f>SUM('Resumen por Ubicación'!$L36:N36)</f>
        <v>0</v>
      </c>
      <c r="O11" s="23">
        <f>SUM('Resumen por Ubicación'!$L36:O36)</f>
        <v>0</v>
      </c>
      <c r="P11" s="23">
        <f>SUM('Resumen por Ubicación'!$L36:P36)</f>
        <v>0</v>
      </c>
      <c r="Q11" s="23">
        <f>SUM('Resumen por Ubicación'!$Q36:Q36)</f>
        <v>0</v>
      </c>
      <c r="R11" s="23">
        <f>SUM('Resumen por Ubicación'!$Q36:R36)</f>
        <v>0</v>
      </c>
      <c r="S11" s="23">
        <f>SUM('Resumen por Ubicación'!$Q36:S36)</f>
        <v>0</v>
      </c>
      <c r="T11" s="23">
        <f>SUM('Resumen por Ubicación'!$Q36:T36)</f>
        <v>0</v>
      </c>
      <c r="U11" s="23">
        <f>SUM('Resumen por Ubicación'!$Q36:U36)</f>
        <v>1</v>
      </c>
      <c r="V11" s="23">
        <f>SUM('Resumen por Ubicación'!$V36:V36)</f>
        <v>0</v>
      </c>
      <c r="W11" s="23">
        <f>SUM('Resumen por Ubicación'!$V36:W36)</f>
        <v>1</v>
      </c>
      <c r="X11" s="23">
        <f>SUM('Resumen por Ubicación'!$V36:X36)</f>
        <v>1</v>
      </c>
      <c r="Y11" s="23">
        <f>SUM('Resumen por Ubicación'!$V36:Y36)</f>
        <v>1</v>
      </c>
      <c r="Z11" s="23">
        <f>SUM('Resumen por Ubicación'!$V36:Z36)</f>
        <v>4</v>
      </c>
      <c r="AA11" s="23">
        <f t="shared" si="0"/>
        <v>3</v>
      </c>
      <c r="AB11" s="23">
        <f t="shared" si="1"/>
        <v>0</v>
      </c>
      <c r="AC11" s="23">
        <f t="shared" si="2"/>
        <v>0</v>
      </c>
    </row>
    <row r="12" spans="1:29" ht="16.5" customHeight="1" x14ac:dyDescent="0.25">
      <c r="A12" s="30" t="s">
        <v>1131</v>
      </c>
      <c r="B12" s="23">
        <f>SUM('Resumen por Ubicación'!$B37:B37)</f>
        <v>1</v>
      </c>
      <c r="C12" s="23">
        <f>SUM('Resumen por Ubicación'!$B37:C37)</f>
        <v>3</v>
      </c>
      <c r="D12" s="23">
        <f>SUM('Resumen por Ubicación'!$B37:D37)</f>
        <v>3</v>
      </c>
      <c r="E12" s="23">
        <f>SUM('Resumen por Ubicación'!$B37:E37)</f>
        <v>3</v>
      </c>
      <c r="F12" s="23">
        <f>SUM('Resumen por Ubicación'!$B37:F37)</f>
        <v>4</v>
      </c>
      <c r="G12" s="23">
        <f>SUM('Resumen por Ubicación'!$G37:G37)</f>
        <v>0</v>
      </c>
      <c r="H12" s="23">
        <f>SUM('Resumen por Ubicación'!$G37:H37)</f>
        <v>0</v>
      </c>
      <c r="I12" s="23">
        <f>SUM('Resumen por Ubicación'!$G37:I37)</f>
        <v>0</v>
      </c>
      <c r="J12" s="23">
        <f>SUM('Resumen por Ubicación'!$G37:J37)</f>
        <v>3</v>
      </c>
      <c r="K12" s="23">
        <f>SUM('Resumen por Ubicación'!$G37:K37)</f>
        <v>5</v>
      </c>
      <c r="L12" s="23">
        <f>SUM('Resumen por Ubicación'!$L37:L37)</f>
        <v>0</v>
      </c>
      <c r="M12" s="23">
        <f>SUM('Resumen por Ubicación'!$L37:M37)</f>
        <v>0</v>
      </c>
      <c r="N12" s="23">
        <f>SUM('Resumen por Ubicación'!$L37:N37)</f>
        <v>0</v>
      </c>
      <c r="O12" s="23">
        <f>SUM('Resumen por Ubicación'!$L37:O37)</f>
        <v>0</v>
      </c>
      <c r="P12" s="23">
        <f>SUM('Resumen por Ubicación'!$L37:P37)</f>
        <v>0</v>
      </c>
      <c r="Q12" s="23">
        <f>SUM('Resumen por Ubicación'!$Q37:Q37)</f>
        <v>0</v>
      </c>
      <c r="R12" s="23">
        <f>SUM('Resumen por Ubicación'!$Q37:R37)</f>
        <v>0</v>
      </c>
      <c r="S12" s="23">
        <f>SUM('Resumen por Ubicación'!$Q37:S37)</f>
        <v>0</v>
      </c>
      <c r="T12" s="23">
        <f>SUM('Resumen por Ubicación'!$Q37:T37)</f>
        <v>0</v>
      </c>
      <c r="U12" s="23">
        <f>SUM('Resumen por Ubicación'!$Q37:U37)</f>
        <v>0</v>
      </c>
      <c r="V12" s="23">
        <f>SUM('Resumen por Ubicación'!$V37:V37)</f>
        <v>1</v>
      </c>
      <c r="W12" s="23">
        <f>SUM('Resumen por Ubicación'!$V37:W37)</f>
        <v>3</v>
      </c>
      <c r="X12" s="23">
        <f>SUM('Resumen por Ubicación'!$V37:X37)</f>
        <v>3</v>
      </c>
      <c r="Y12" s="23">
        <f>SUM('Resumen por Ubicación'!$V37:Y37)</f>
        <v>6</v>
      </c>
      <c r="Z12" s="23">
        <f>SUM('Resumen por Ubicación'!$V37:Z37)</f>
        <v>9</v>
      </c>
      <c r="AA12" s="23">
        <f t="shared" si="0"/>
        <v>1</v>
      </c>
      <c r="AB12" s="23">
        <f t="shared" si="1"/>
        <v>0</v>
      </c>
      <c r="AC12" s="23">
        <f t="shared" si="2"/>
        <v>2</v>
      </c>
    </row>
    <row r="13" spans="1:29" ht="16.5" customHeight="1" x14ac:dyDescent="0.25">
      <c r="A13" s="30" t="s">
        <v>1120</v>
      </c>
      <c r="B13" s="23">
        <f>SUM('Resumen por Ubicación'!$B38:B38)</f>
        <v>0</v>
      </c>
      <c r="C13" s="23">
        <f>SUM('Resumen por Ubicación'!$B38:C38)</f>
        <v>5</v>
      </c>
      <c r="D13" s="23">
        <f>SUM('Resumen por Ubicación'!$B38:D38)</f>
        <v>5</v>
      </c>
      <c r="E13" s="23">
        <f>SUM('Resumen por Ubicación'!$B38:E38)</f>
        <v>8</v>
      </c>
      <c r="F13" s="23">
        <f>SUM('Resumen por Ubicación'!$B38:F38)</f>
        <v>8</v>
      </c>
      <c r="G13" s="23">
        <f>SUM('Resumen por Ubicación'!$G38:G38)</f>
        <v>0</v>
      </c>
      <c r="H13" s="23">
        <f>SUM('Resumen por Ubicación'!$G38:H38)</f>
        <v>1</v>
      </c>
      <c r="I13" s="23">
        <f>SUM('Resumen por Ubicación'!$G38:I38)</f>
        <v>3</v>
      </c>
      <c r="J13" s="23">
        <f>SUM('Resumen por Ubicación'!$G38:J38)</f>
        <v>3</v>
      </c>
      <c r="K13" s="23">
        <f>SUM('Resumen por Ubicación'!$G38:K38)</f>
        <v>3</v>
      </c>
      <c r="L13" s="23">
        <f>SUM('Resumen por Ubicación'!$L38:L38)</f>
        <v>0</v>
      </c>
      <c r="M13" s="23">
        <f>SUM('Resumen por Ubicación'!$L38:M38)</f>
        <v>2</v>
      </c>
      <c r="N13" s="23">
        <f>SUM('Resumen por Ubicación'!$L38:N38)</f>
        <v>2</v>
      </c>
      <c r="O13" s="23">
        <f>SUM('Resumen por Ubicación'!$L38:O38)</f>
        <v>2</v>
      </c>
      <c r="P13" s="23">
        <f>SUM('Resumen por Ubicación'!$L38:P38)</f>
        <v>3</v>
      </c>
      <c r="Q13" s="23">
        <f>SUM('Resumen por Ubicación'!$Q38:Q38)</f>
        <v>0</v>
      </c>
      <c r="R13" s="23">
        <f>SUM('Resumen por Ubicación'!$Q38:R38)</f>
        <v>1</v>
      </c>
      <c r="S13" s="23">
        <f>SUM('Resumen por Ubicación'!$Q38:S38)</f>
        <v>1</v>
      </c>
      <c r="T13" s="23">
        <f>SUM('Resumen por Ubicación'!$Q38:T38)</f>
        <v>2</v>
      </c>
      <c r="U13" s="23">
        <f>SUM('Resumen por Ubicación'!$Q38:U38)</f>
        <v>2</v>
      </c>
      <c r="V13" s="23">
        <f>SUM('Resumen por Ubicación'!$V38:V38)</f>
        <v>0</v>
      </c>
      <c r="W13" s="23">
        <f>SUM('Resumen por Ubicación'!$V38:W38)</f>
        <v>9</v>
      </c>
      <c r="X13" s="23">
        <f>SUM('Resumen por Ubicación'!$V38:X38)</f>
        <v>11</v>
      </c>
      <c r="Y13" s="23">
        <f>SUM('Resumen por Ubicación'!$V38:Y38)</f>
        <v>15</v>
      </c>
      <c r="Z13" s="23">
        <f>SUM('Resumen por Ubicación'!$V38:Z38)</f>
        <v>16</v>
      </c>
      <c r="AA13" s="23">
        <f t="shared" si="0"/>
        <v>2</v>
      </c>
      <c r="AB13" s="23">
        <f t="shared" si="1"/>
        <v>2</v>
      </c>
      <c r="AC13" s="23">
        <f t="shared" si="2"/>
        <v>0</v>
      </c>
    </row>
    <row r="14" spans="1:29" ht="16.5" customHeight="1" x14ac:dyDescent="0.25">
      <c r="A14" s="30" t="s">
        <v>1133</v>
      </c>
      <c r="B14" s="23">
        <f>SUM('Resumen por Ubicación'!$B39:B39)</f>
        <v>0</v>
      </c>
      <c r="C14" s="23">
        <f>SUM('Resumen por Ubicación'!$B39:C39)</f>
        <v>8</v>
      </c>
      <c r="D14" s="23">
        <f>SUM('Resumen por Ubicación'!$B39:D39)</f>
        <v>12</v>
      </c>
      <c r="E14" s="23">
        <f>SUM('Resumen por Ubicación'!$B39:E39)</f>
        <v>15</v>
      </c>
      <c r="F14" s="23">
        <f>SUM('Resumen por Ubicación'!$B39:F39)</f>
        <v>15</v>
      </c>
      <c r="G14" s="23">
        <f>SUM('Resumen por Ubicación'!$G39:G39)</f>
        <v>0</v>
      </c>
      <c r="H14" s="23">
        <f>SUM('Resumen por Ubicación'!$G39:H39)</f>
        <v>8</v>
      </c>
      <c r="I14" s="23">
        <f>SUM('Resumen por Ubicación'!$G39:I39)</f>
        <v>9</v>
      </c>
      <c r="J14" s="23">
        <f>SUM('Resumen por Ubicación'!$G39:J39)</f>
        <v>12</v>
      </c>
      <c r="K14" s="23">
        <f>SUM('Resumen por Ubicación'!$G39:K39)</f>
        <v>12</v>
      </c>
      <c r="L14" s="23">
        <f>SUM('Resumen por Ubicación'!$L39:L39)</f>
        <v>0</v>
      </c>
      <c r="M14" s="23">
        <f>SUM('Resumen por Ubicación'!$L39:M39)</f>
        <v>3</v>
      </c>
      <c r="N14" s="23">
        <f>SUM('Resumen por Ubicación'!$L39:N39)</f>
        <v>3</v>
      </c>
      <c r="O14" s="23">
        <f>SUM('Resumen por Ubicación'!$L39:O39)</f>
        <v>5</v>
      </c>
      <c r="P14" s="23">
        <f>SUM('Resumen por Ubicación'!$L39:P39)</f>
        <v>5</v>
      </c>
      <c r="Q14" s="23">
        <f>SUM('Resumen por Ubicación'!$Q39:Q39)</f>
        <v>0</v>
      </c>
      <c r="R14" s="23">
        <f>SUM('Resumen por Ubicación'!$Q39:R39)</f>
        <v>7</v>
      </c>
      <c r="S14" s="23">
        <f>SUM('Resumen por Ubicación'!$Q39:S39)</f>
        <v>9</v>
      </c>
      <c r="T14" s="23">
        <f>SUM('Resumen por Ubicación'!$Q39:T39)</f>
        <v>12</v>
      </c>
      <c r="U14" s="23">
        <f>SUM('Resumen por Ubicación'!$Q39:U39)</f>
        <v>16</v>
      </c>
      <c r="V14" s="23">
        <f>SUM('Resumen por Ubicación'!$V39:V39)</f>
        <v>0</v>
      </c>
      <c r="W14" s="23">
        <f>SUM('Resumen por Ubicación'!$V39:W39)</f>
        <v>26</v>
      </c>
      <c r="X14" s="23">
        <f>SUM('Resumen por Ubicación'!$V39:X39)</f>
        <v>33</v>
      </c>
      <c r="Y14" s="23">
        <f>SUM('Resumen por Ubicación'!$V39:Y39)</f>
        <v>44</v>
      </c>
      <c r="Z14" s="23">
        <f>SUM('Resumen por Ubicación'!$V39:Z39)</f>
        <v>48</v>
      </c>
      <c r="AA14" s="23">
        <f t="shared" si="0"/>
        <v>6</v>
      </c>
      <c r="AB14" s="23">
        <f t="shared" si="1"/>
        <v>2</v>
      </c>
      <c r="AC14" s="23">
        <f t="shared" si="2"/>
        <v>1</v>
      </c>
    </row>
    <row r="15" spans="1:29" ht="16.5" customHeight="1" x14ac:dyDescent="0.25">
      <c r="A15" s="30" t="s">
        <v>1124</v>
      </c>
      <c r="B15" s="23">
        <f>SUM('Resumen por Ubicación'!$B40:B40)</f>
        <v>1</v>
      </c>
      <c r="C15" s="23">
        <f>SUM('Resumen por Ubicación'!$B40:C40)</f>
        <v>8</v>
      </c>
      <c r="D15" s="23">
        <f>SUM('Resumen por Ubicación'!$B40:D40)</f>
        <v>9</v>
      </c>
      <c r="E15" s="23">
        <f>SUM('Resumen por Ubicación'!$B40:E40)</f>
        <v>11</v>
      </c>
      <c r="F15" s="23">
        <f>SUM('Resumen por Ubicación'!$B40:F40)</f>
        <v>11</v>
      </c>
      <c r="G15" s="23">
        <f>SUM('Resumen por Ubicación'!$G40:G40)</f>
        <v>0</v>
      </c>
      <c r="H15" s="23">
        <f>SUM('Resumen por Ubicación'!$G40:H40)</f>
        <v>0</v>
      </c>
      <c r="I15" s="23">
        <f>SUM('Resumen por Ubicación'!$G40:I40)</f>
        <v>0</v>
      </c>
      <c r="J15" s="23">
        <f>SUM('Resumen por Ubicación'!$G40:J40)</f>
        <v>0</v>
      </c>
      <c r="K15" s="23">
        <f>SUM('Resumen por Ubicación'!$G40:K40)</f>
        <v>0</v>
      </c>
      <c r="L15" s="23">
        <f>SUM('Resumen por Ubicación'!$L40:L40)</f>
        <v>0</v>
      </c>
      <c r="M15" s="23">
        <f>SUM('Resumen por Ubicación'!$L40:M40)</f>
        <v>0</v>
      </c>
      <c r="N15" s="23">
        <f>SUM('Resumen por Ubicación'!$L40:N40)</f>
        <v>0</v>
      </c>
      <c r="O15" s="23">
        <f>SUM('Resumen por Ubicación'!$L40:O40)</f>
        <v>0</v>
      </c>
      <c r="P15" s="23">
        <f>SUM('Resumen por Ubicación'!$L40:P40)</f>
        <v>0</v>
      </c>
      <c r="Q15" s="23">
        <f>SUM('Resumen por Ubicación'!$Q40:Q40)</f>
        <v>0</v>
      </c>
      <c r="R15" s="23">
        <f>SUM('Resumen por Ubicación'!$Q40:R40)</f>
        <v>0</v>
      </c>
      <c r="S15" s="23">
        <f>SUM('Resumen por Ubicación'!$Q40:S40)</f>
        <v>0</v>
      </c>
      <c r="T15" s="23">
        <f>SUM('Resumen por Ubicación'!$Q40:T40)</f>
        <v>1</v>
      </c>
      <c r="U15" s="23">
        <f>SUM('Resumen por Ubicación'!$Q40:U40)</f>
        <v>1</v>
      </c>
      <c r="V15" s="23">
        <f>SUM('Resumen por Ubicación'!$V40:V40)</f>
        <v>1</v>
      </c>
      <c r="W15" s="23">
        <f>SUM('Resumen por Ubicación'!$V40:W40)</f>
        <v>8</v>
      </c>
      <c r="X15" s="23">
        <f>SUM('Resumen por Ubicación'!$V40:X40)</f>
        <v>9</v>
      </c>
      <c r="Y15" s="23">
        <f>SUM('Resumen por Ubicación'!$V40:Y40)</f>
        <v>12</v>
      </c>
      <c r="Z15" s="23">
        <f>SUM('Resumen por Ubicación'!$V40:Z40)</f>
        <v>12</v>
      </c>
      <c r="AA15" s="23">
        <f t="shared" si="0"/>
        <v>3</v>
      </c>
      <c r="AB15" s="23">
        <f t="shared" si="1"/>
        <v>0</v>
      </c>
      <c r="AC15" s="23">
        <f t="shared" si="2"/>
        <v>0</v>
      </c>
    </row>
    <row r="16" spans="1:29" ht="16.5" customHeight="1" x14ac:dyDescent="0.25">
      <c r="A16" s="30" t="s">
        <v>1135</v>
      </c>
      <c r="B16" s="23">
        <f>SUM('Resumen por Ubicación'!$B41:B41)</f>
        <v>1</v>
      </c>
      <c r="C16" s="23">
        <f>SUM('Resumen por Ubicación'!$B41:C41)</f>
        <v>6</v>
      </c>
      <c r="D16" s="23">
        <f>SUM('Resumen por Ubicación'!$B41:D41)</f>
        <v>11</v>
      </c>
      <c r="E16" s="23">
        <f>SUM('Resumen por Ubicación'!$B41:E41)</f>
        <v>14</v>
      </c>
      <c r="F16" s="23">
        <f>SUM('Resumen por Ubicación'!$B41:F41)</f>
        <v>17</v>
      </c>
      <c r="G16" s="23">
        <f>SUM('Resumen por Ubicación'!$G41:G41)</f>
        <v>2</v>
      </c>
      <c r="H16" s="23">
        <f>SUM('Resumen por Ubicación'!$G41:H41)</f>
        <v>7</v>
      </c>
      <c r="I16" s="23">
        <f>SUM('Resumen por Ubicación'!$G41:I41)</f>
        <v>10</v>
      </c>
      <c r="J16" s="23">
        <f>SUM('Resumen por Ubicación'!$G41:J41)</f>
        <v>11</v>
      </c>
      <c r="K16" s="23">
        <f>SUM('Resumen por Ubicación'!$G41:K41)</f>
        <v>11</v>
      </c>
      <c r="L16" s="23">
        <f>SUM('Resumen por Ubicación'!$L41:L41)</f>
        <v>0</v>
      </c>
      <c r="M16" s="23">
        <f>SUM('Resumen por Ubicación'!$L41:M41)</f>
        <v>1</v>
      </c>
      <c r="N16" s="23">
        <f>SUM('Resumen por Ubicación'!$L41:N41)</f>
        <v>1</v>
      </c>
      <c r="O16" s="23">
        <f>SUM('Resumen por Ubicación'!$L41:O41)</f>
        <v>1</v>
      </c>
      <c r="P16" s="23">
        <f>SUM('Resumen por Ubicación'!$L41:P41)</f>
        <v>2</v>
      </c>
      <c r="Q16" s="23">
        <f>SUM('Resumen por Ubicación'!$Q41:Q41)</f>
        <v>2</v>
      </c>
      <c r="R16" s="23">
        <f>SUM('Resumen por Ubicación'!$Q41:R41)</f>
        <v>2</v>
      </c>
      <c r="S16" s="23">
        <f>SUM('Resumen por Ubicación'!$Q41:S41)</f>
        <v>2</v>
      </c>
      <c r="T16" s="23">
        <f>SUM('Resumen por Ubicación'!$Q41:T41)</f>
        <v>2</v>
      </c>
      <c r="U16" s="23">
        <f>SUM('Resumen por Ubicación'!$Q41:U41)</f>
        <v>2</v>
      </c>
      <c r="V16" s="23">
        <f>SUM('Resumen por Ubicación'!$V41:V41)</f>
        <v>5</v>
      </c>
      <c r="W16" s="23">
        <f>SUM('Resumen por Ubicación'!$V41:W41)</f>
        <v>16</v>
      </c>
      <c r="X16" s="23">
        <f>SUM('Resumen por Ubicación'!$V41:X41)</f>
        <v>24</v>
      </c>
      <c r="Y16" s="23">
        <f>SUM('Resumen por Ubicación'!$V41:Y41)</f>
        <v>28</v>
      </c>
      <c r="Z16" s="23">
        <f>SUM('Resumen por Ubicación'!$V41:Z41)</f>
        <v>32</v>
      </c>
      <c r="AA16" s="23">
        <f t="shared" si="0"/>
        <v>9</v>
      </c>
      <c r="AB16" s="23">
        <f t="shared" si="1"/>
        <v>0</v>
      </c>
      <c r="AC16" s="23">
        <f t="shared" si="2"/>
        <v>3</v>
      </c>
    </row>
    <row r="17" spans="1:29" ht="16.5" customHeight="1" x14ac:dyDescent="0.25">
      <c r="A17" s="30" t="s">
        <v>1136</v>
      </c>
      <c r="B17" s="23">
        <f>SUM('Resumen por Ubicación'!$B42:B42)</f>
        <v>0</v>
      </c>
      <c r="C17" s="23">
        <f>SUM('Resumen por Ubicación'!$B42:C42)</f>
        <v>0</v>
      </c>
      <c r="D17" s="23">
        <f>SUM('Resumen por Ubicación'!$B42:D42)</f>
        <v>0</v>
      </c>
      <c r="E17" s="23">
        <f>SUM('Resumen por Ubicación'!$B42:E42)</f>
        <v>0</v>
      </c>
      <c r="F17" s="23">
        <f>SUM('Resumen por Ubicación'!$B42:F42)</f>
        <v>0</v>
      </c>
      <c r="G17" s="23">
        <f>SUM('Resumen por Ubicación'!$G42:G42)</f>
        <v>0</v>
      </c>
      <c r="H17" s="23">
        <f>SUM('Resumen por Ubicación'!$G42:H42)</f>
        <v>0</v>
      </c>
      <c r="I17" s="23">
        <f>SUM('Resumen por Ubicación'!$G42:I42)</f>
        <v>1</v>
      </c>
      <c r="J17" s="23">
        <f>SUM('Resumen por Ubicación'!$G42:J42)</f>
        <v>2</v>
      </c>
      <c r="K17" s="23">
        <f>SUM('Resumen por Ubicación'!$G42:K42)</f>
        <v>2</v>
      </c>
      <c r="L17" s="23">
        <f>SUM('Resumen por Ubicación'!$L42:L42)</f>
        <v>0</v>
      </c>
      <c r="M17" s="23">
        <f>SUM('Resumen por Ubicación'!$L42:M42)</f>
        <v>1</v>
      </c>
      <c r="N17" s="23">
        <f>SUM('Resumen por Ubicación'!$L42:N42)</f>
        <v>2</v>
      </c>
      <c r="O17" s="23">
        <f>SUM('Resumen por Ubicación'!$L42:O42)</f>
        <v>3</v>
      </c>
      <c r="P17" s="23">
        <f>SUM('Resumen por Ubicación'!$L42:P42)</f>
        <v>3</v>
      </c>
      <c r="Q17" s="23">
        <f>SUM('Resumen por Ubicación'!$Q42:Q42)</f>
        <v>1</v>
      </c>
      <c r="R17" s="23">
        <f>SUM('Resumen por Ubicación'!$Q42:R42)</f>
        <v>1</v>
      </c>
      <c r="S17" s="23">
        <f>SUM('Resumen por Ubicación'!$Q42:S42)</f>
        <v>1</v>
      </c>
      <c r="T17" s="23">
        <f>SUM('Resumen por Ubicación'!$Q42:T42)</f>
        <v>1</v>
      </c>
      <c r="U17" s="23">
        <f>SUM('Resumen por Ubicación'!$Q42:U42)</f>
        <v>3</v>
      </c>
      <c r="V17" s="23">
        <f>SUM('Resumen por Ubicación'!$V42:V42)</f>
        <v>1</v>
      </c>
      <c r="W17" s="23">
        <f>SUM('Resumen por Ubicación'!$V42:W42)</f>
        <v>2</v>
      </c>
      <c r="X17" s="23">
        <f>SUM('Resumen por Ubicación'!$V42:X42)</f>
        <v>4</v>
      </c>
      <c r="Y17" s="23">
        <f>SUM('Resumen por Ubicación'!$V42:Y42)</f>
        <v>6</v>
      </c>
      <c r="Z17" s="23">
        <f>SUM('Resumen por Ubicación'!$V42:Z42)</f>
        <v>8</v>
      </c>
      <c r="AA17" s="23">
        <f t="shared" si="0"/>
        <v>2</v>
      </c>
      <c r="AB17" s="23">
        <f t="shared" si="1"/>
        <v>0</v>
      </c>
      <c r="AC17" s="23">
        <f t="shared" si="2"/>
        <v>2</v>
      </c>
    </row>
    <row r="18" spans="1:29" ht="16.5" customHeight="1" x14ac:dyDescent="0.25">
      <c r="A18" s="30" t="s">
        <v>1139</v>
      </c>
      <c r="B18" s="23">
        <f>SUM('Resumen por Ubicación'!$B43:B43)</f>
        <v>0</v>
      </c>
      <c r="C18" s="23">
        <f>SUM('Resumen por Ubicación'!$B43:C43)</f>
        <v>1</v>
      </c>
      <c r="D18" s="23">
        <f>SUM('Resumen por Ubicación'!$B43:D43)</f>
        <v>1</v>
      </c>
      <c r="E18" s="23">
        <f>SUM('Resumen por Ubicación'!$B43:E43)</f>
        <v>1</v>
      </c>
      <c r="F18" s="23">
        <f>SUM('Resumen por Ubicación'!$B43:F43)</f>
        <v>2</v>
      </c>
      <c r="G18" s="23">
        <f>SUM('Resumen por Ubicación'!$G43:G43)</f>
        <v>1</v>
      </c>
      <c r="H18" s="23">
        <f>SUM('Resumen por Ubicación'!$G43:H43)</f>
        <v>4</v>
      </c>
      <c r="I18" s="23">
        <f>SUM('Resumen por Ubicación'!$G43:I43)</f>
        <v>6</v>
      </c>
      <c r="J18" s="23">
        <f>SUM('Resumen por Ubicación'!$G43:J43)</f>
        <v>10</v>
      </c>
      <c r="K18" s="23">
        <f>SUM('Resumen por Ubicación'!$G43:K43)</f>
        <v>13</v>
      </c>
      <c r="L18" s="23">
        <f>SUM('Resumen por Ubicación'!$L43:L43)</f>
        <v>0</v>
      </c>
      <c r="M18" s="23">
        <f>SUM('Resumen por Ubicación'!$L43:M43)</f>
        <v>0</v>
      </c>
      <c r="N18" s="23">
        <f>SUM('Resumen por Ubicación'!$L43:N43)</f>
        <v>0</v>
      </c>
      <c r="O18" s="23">
        <f>SUM('Resumen por Ubicación'!$L43:O43)</f>
        <v>0</v>
      </c>
      <c r="P18" s="23">
        <f>SUM('Resumen por Ubicación'!$L43:P43)</f>
        <v>2</v>
      </c>
      <c r="Q18" s="23">
        <f>SUM('Resumen por Ubicación'!$Q43:Q43)</f>
        <v>0</v>
      </c>
      <c r="R18" s="23">
        <f>SUM('Resumen por Ubicación'!$Q43:R43)</f>
        <v>0</v>
      </c>
      <c r="S18" s="23">
        <f>SUM('Resumen por Ubicación'!$Q43:S43)</f>
        <v>0</v>
      </c>
      <c r="T18" s="23">
        <f>SUM('Resumen por Ubicación'!$Q43:T43)</f>
        <v>0</v>
      </c>
      <c r="U18" s="23">
        <f>SUM('Resumen por Ubicación'!$Q43:U43)</f>
        <v>0</v>
      </c>
      <c r="V18" s="23">
        <f>SUM('Resumen por Ubicación'!$V43:V43)</f>
        <v>1</v>
      </c>
      <c r="W18" s="23">
        <f>SUM('Resumen por Ubicación'!$V43:W43)</f>
        <v>5</v>
      </c>
      <c r="X18" s="23">
        <f>SUM('Resumen por Ubicación'!$V43:X43)</f>
        <v>7</v>
      </c>
      <c r="Y18" s="23">
        <f>SUM('Resumen por Ubicación'!$V43:Y43)</f>
        <v>11</v>
      </c>
      <c r="Z18" s="23">
        <f>SUM('Resumen por Ubicación'!$V43:Z43)</f>
        <v>17</v>
      </c>
      <c r="AA18" s="23">
        <f t="shared" si="0"/>
        <v>1</v>
      </c>
      <c r="AB18" s="23">
        <f t="shared" si="1"/>
        <v>0</v>
      </c>
      <c r="AC18" s="23">
        <f t="shared" si="2"/>
        <v>0</v>
      </c>
    </row>
    <row r="19" spans="1:29" ht="16.5" customHeight="1" x14ac:dyDescent="0.25">
      <c r="A19" s="30" t="s">
        <v>1137</v>
      </c>
      <c r="B19" s="23">
        <f>SUM('Resumen por Ubicación'!$B44:B44)</f>
        <v>0</v>
      </c>
      <c r="C19" s="23">
        <f>SUM('Resumen por Ubicación'!$B44:C44)</f>
        <v>0</v>
      </c>
      <c r="D19" s="23">
        <f>SUM('Resumen por Ubicación'!$B44:D44)</f>
        <v>1</v>
      </c>
      <c r="E19" s="23">
        <f>SUM('Resumen por Ubicación'!$B44:E44)</f>
        <v>1</v>
      </c>
      <c r="F19" s="23">
        <f>SUM('Resumen por Ubicación'!$B44:F44)</f>
        <v>2</v>
      </c>
      <c r="G19" s="23">
        <f>SUM('Resumen por Ubicación'!$G44:G44)</f>
        <v>0</v>
      </c>
      <c r="H19" s="23">
        <f>SUM('Resumen por Ubicación'!$G44:H44)</f>
        <v>0</v>
      </c>
      <c r="I19" s="23">
        <f>SUM('Resumen por Ubicación'!$G44:I44)</f>
        <v>2</v>
      </c>
      <c r="J19" s="23">
        <f>SUM('Resumen por Ubicación'!$G44:J44)</f>
        <v>2</v>
      </c>
      <c r="K19" s="23">
        <f>SUM('Resumen por Ubicación'!$G44:K44)</f>
        <v>3</v>
      </c>
      <c r="L19" s="23">
        <f>SUM('Resumen por Ubicación'!$L44:L44)</f>
        <v>0</v>
      </c>
      <c r="M19" s="23">
        <f>SUM('Resumen por Ubicación'!$L44:M44)</f>
        <v>0</v>
      </c>
      <c r="N19" s="23">
        <f>SUM('Resumen por Ubicación'!$L44:N44)</f>
        <v>0</v>
      </c>
      <c r="O19" s="23">
        <f>SUM('Resumen por Ubicación'!$L44:O44)</f>
        <v>0</v>
      </c>
      <c r="P19" s="23">
        <f>SUM('Resumen por Ubicación'!$L44:P44)</f>
        <v>0</v>
      </c>
      <c r="Q19" s="23">
        <f>SUM('Resumen por Ubicación'!$Q44:Q44)</f>
        <v>0</v>
      </c>
      <c r="R19" s="23">
        <f>SUM('Resumen por Ubicación'!$Q44:R44)</f>
        <v>0</v>
      </c>
      <c r="S19" s="23">
        <f>SUM('Resumen por Ubicación'!$Q44:S44)</f>
        <v>0</v>
      </c>
      <c r="T19" s="23">
        <f>SUM('Resumen por Ubicación'!$Q44:T44)</f>
        <v>0</v>
      </c>
      <c r="U19" s="23">
        <f>SUM('Resumen por Ubicación'!$Q44:U44)</f>
        <v>0</v>
      </c>
      <c r="V19" s="23">
        <f>SUM('Resumen por Ubicación'!$V44:V44)</f>
        <v>0</v>
      </c>
      <c r="W19" s="23">
        <f>SUM('Resumen por Ubicación'!$V44:W44)</f>
        <v>0</v>
      </c>
      <c r="X19" s="23">
        <f>SUM('Resumen por Ubicación'!$V44:X44)</f>
        <v>3</v>
      </c>
      <c r="Y19" s="23">
        <f>SUM('Resumen por Ubicación'!$V44:Y44)</f>
        <v>3</v>
      </c>
      <c r="Z19" s="23">
        <f>SUM('Resumen por Ubicación'!$V44:Z44)</f>
        <v>5</v>
      </c>
      <c r="AA19" s="23">
        <f t="shared" si="0"/>
        <v>4</v>
      </c>
      <c r="AB19" s="23">
        <f t="shared" si="1"/>
        <v>0</v>
      </c>
      <c r="AC19" s="23">
        <f t="shared" si="2"/>
        <v>0</v>
      </c>
    </row>
    <row r="20" spans="1:29" ht="16.5" customHeight="1" x14ac:dyDescent="0.25">
      <c r="A20" s="30" t="s">
        <v>1130</v>
      </c>
      <c r="B20" s="23">
        <f>SUM('Resumen por Ubicación'!$B45:B45)</f>
        <v>0</v>
      </c>
      <c r="C20" s="23">
        <f>SUM('Resumen por Ubicación'!$B45:C45)</f>
        <v>8</v>
      </c>
      <c r="D20" s="23">
        <f>SUM('Resumen por Ubicación'!$B45:D45)</f>
        <v>11</v>
      </c>
      <c r="E20" s="23">
        <f>SUM('Resumen por Ubicación'!$B45:E45)</f>
        <v>13</v>
      </c>
      <c r="F20" s="23">
        <f>SUM('Resumen por Ubicación'!$B45:F45)</f>
        <v>13</v>
      </c>
      <c r="G20" s="23">
        <f>SUM('Resumen por Ubicación'!$G45:G45)</f>
        <v>0</v>
      </c>
      <c r="H20" s="23">
        <f>SUM('Resumen por Ubicación'!$G45:H45)</f>
        <v>0</v>
      </c>
      <c r="I20" s="23">
        <f>SUM('Resumen por Ubicación'!$G45:I45)</f>
        <v>0</v>
      </c>
      <c r="J20" s="23">
        <f>SUM('Resumen por Ubicación'!$G45:J45)</f>
        <v>0</v>
      </c>
      <c r="K20" s="23">
        <f>SUM('Resumen por Ubicación'!$G45:K45)</f>
        <v>0</v>
      </c>
      <c r="L20" s="23">
        <f>SUM('Resumen por Ubicación'!$L45:L45)</f>
        <v>0</v>
      </c>
      <c r="M20" s="23">
        <f>SUM('Resumen por Ubicación'!$L45:M45)</f>
        <v>0</v>
      </c>
      <c r="N20" s="23">
        <f>SUM('Resumen por Ubicación'!$L45:N45)</f>
        <v>0</v>
      </c>
      <c r="O20" s="23">
        <f>SUM('Resumen por Ubicación'!$L45:O45)</f>
        <v>0</v>
      </c>
      <c r="P20" s="23">
        <f>SUM('Resumen por Ubicación'!$L45:P45)</f>
        <v>0</v>
      </c>
      <c r="Q20" s="23">
        <f>SUM('Resumen por Ubicación'!$Q45:Q45)</f>
        <v>0</v>
      </c>
      <c r="R20" s="23">
        <f>SUM('Resumen por Ubicación'!$Q45:R45)</f>
        <v>0</v>
      </c>
      <c r="S20" s="23">
        <f>SUM('Resumen por Ubicación'!$Q45:S45)</f>
        <v>0</v>
      </c>
      <c r="T20" s="23">
        <f>SUM('Resumen por Ubicación'!$Q45:T45)</f>
        <v>0</v>
      </c>
      <c r="U20" s="23">
        <f>SUM('Resumen por Ubicación'!$Q45:U45)</f>
        <v>0</v>
      </c>
      <c r="V20" s="23">
        <f>SUM('Resumen por Ubicación'!$V45:V45)</f>
        <v>0</v>
      </c>
      <c r="W20" s="23">
        <f>SUM('Resumen por Ubicación'!$V45:W45)</f>
        <v>8</v>
      </c>
      <c r="X20" s="23">
        <f>SUM('Resumen por Ubicación'!$V45:X45)</f>
        <v>11</v>
      </c>
      <c r="Y20" s="23">
        <f>SUM('Resumen por Ubicación'!$V45:Y45)</f>
        <v>13</v>
      </c>
      <c r="Z20" s="23">
        <f>SUM('Resumen por Ubicación'!$V45:Z45)</f>
        <v>13</v>
      </c>
      <c r="AA20" s="23">
        <f t="shared" si="0"/>
        <v>5</v>
      </c>
      <c r="AB20" s="23">
        <f t="shared" si="1"/>
        <v>0</v>
      </c>
      <c r="AC20" s="23">
        <f t="shared" si="2"/>
        <v>0</v>
      </c>
    </row>
    <row r="21" spans="1:29" ht="16.5" customHeight="1" x14ac:dyDescent="0.25">
      <c r="A21" s="30" t="s">
        <v>1134</v>
      </c>
      <c r="B21" s="23">
        <f>SUM('Resumen por Ubicación'!$B46:B46)</f>
        <v>1</v>
      </c>
      <c r="C21" s="23">
        <f>SUM('Resumen por Ubicación'!$B46:C46)</f>
        <v>1</v>
      </c>
      <c r="D21" s="23">
        <f>SUM('Resumen por Ubicación'!$B46:D46)</f>
        <v>4</v>
      </c>
      <c r="E21" s="23">
        <f>SUM('Resumen por Ubicación'!$B46:E46)</f>
        <v>13</v>
      </c>
      <c r="F21" s="23">
        <f>SUM('Resumen por Ubicación'!$B46:F46)</f>
        <v>17</v>
      </c>
      <c r="G21" s="23">
        <f>SUM('Resumen por Ubicación'!$G46:G46)</f>
        <v>0</v>
      </c>
      <c r="H21" s="23">
        <f>SUM('Resumen por Ubicación'!$G46:H46)</f>
        <v>0</v>
      </c>
      <c r="I21" s="23">
        <f>SUM('Resumen por Ubicación'!$G46:I46)</f>
        <v>1</v>
      </c>
      <c r="J21" s="23">
        <f>SUM('Resumen por Ubicación'!$G46:J46)</f>
        <v>3</v>
      </c>
      <c r="K21" s="23">
        <f>SUM('Resumen por Ubicación'!$G46:K46)</f>
        <v>3</v>
      </c>
      <c r="L21" s="23">
        <f>SUM('Resumen por Ubicación'!$L46:L46)</f>
        <v>1</v>
      </c>
      <c r="M21" s="23">
        <f>SUM('Resumen por Ubicación'!$L46:M46)</f>
        <v>2</v>
      </c>
      <c r="N21" s="23">
        <f>SUM('Resumen por Ubicación'!$L46:N46)</f>
        <v>7</v>
      </c>
      <c r="O21" s="23">
        <f>SUM('Resumen por Ubicación'!$L46:O46)</f>
        <v>10</v>
      </c>
      <c r="P21" s="23">
        <f>SUM('Resumen por Ubicación'!$L46:P46)</f>
        <v>15</v>
      </c>
      <c r="Q21" s="23">
        <f>SUM('Resumen por Ubicación'!$Q46:Q46)</f>
        <v>0</v>
      </c>
      <c r="R21" s="23">
        <f>SUM('Resumen por Ubicación'!$Q46:R46)</f>
        <v>1</v>
      </c>
      <c r="S21" s="23">
        <f>SUM('Resumen por Ubicación'!$Q46:S46)</f>
        <v>1</v>
      </c>
      <c r="T21" s="23">
        <f>SUM('Resumen por Ubicación'!$Q46:T46)</f>
        <v>2</v>
      </c>
      <c r="U21" s="23">
        <f>SUM('Resumen por Ubicación'!$Q46:U46)</f>
        <v>2</v>
      </c>
      <c r="V21" s="23">
        <f>SUM('Resumen por Ubicación'!$V46:V46)</f>
        <v>2</v>
      </c>
      <c r="W21" s="23">
        <f>SUM('Resumen por Ubicación'!$V46:W46)</f>
        <v>4</v>
      </c>
      <c r="X21" s="23">
        <f>SUM('Resumen por Ubicación'!$V46:X46)</f>
        <v>13</v>
      </c>
      <c r="Y21" s="23">
        <f>SUM('Resumen por Ubicación'!$V46:Y46)</f>
        <v>28</v>
      </c>
      <c r="Z21" s="23">
        <f>SUM('Resumen por Ubicación'!$V46:Z46)</f>
        <v>37</v>
      </c>
      <c r="AA21" s="23">
        <f t="shared" si="0"/>
        <v>9</v>
      </c>
      <c r="AB21" s="23">
        <f t="shared" si="1"/>
        <v>0</v>
      </c>
      <c r="AC21" s="23">
        <f t="shared" si="2"/>
        <v>0</v>
      </c>
    </row>
    <row r="22" spans="1:29" ht="16.5" customHeight="1" x14ac:dyDescent="0.25">
      <c r="A22" s="30" t="s">
        <v>1132</v>
      </c>
      <c r="B22" s="23">
        <f>SUM('Resumen por Ubicación'!$B47:B47)</f>
        <v>1</v>
      </c>
      <c r="C22" s="23">
        <f>SUM('Resumen por Ubicación'!$B47:C47)</f>
        <v>9</v>
      </c>
      <c r="D22" s="23">
        <f>SUM('Resumen por Ubicación'!$B47:D47)</f>
        <v>10</v>
      </c>
      <c r="E22" s="23">
        <f>SUM('Resumen por Ubicación'!$B47:E47)</f>
        <v>16</v>
      </c>
      <c r="F22" s="23">
        <f>SUM('Resumen por Ubicación'!$B47:F47)</f>
        <v>19</v>
      </c>
      <c r="G22" s="23">
        <f>SUM('Resumen por Ubicación'!$G47:G47)</f>
        <v>1</v>
      </c>
      <c r="H22" s="23">
        <f>SUM('Resumen por Ubicación'!$G47:H47)</f>
        <v>2</v>
      </c>
      <c r="I22" s="23">
        <f>SUM('Resumen por Ubicación'!$G47:I47)</f>
        <v>2</v>
      </c>
      <c r="J22" s="23">
        <f>SUM('Resumen por Ubicación'!$G47:J47)</f>
        <v>2</v>
      </c>
      <c r="K22" s="23">
        <f>SUM('Resumen por Ubicación'!$G47:K47)</f>
        <v>4</v>
      </c>
      <c r="L22" s="23">
        <f>SUM('Resumen por Ubicación'!$L47:L47)</f>
        <v>0</v>
      </c>
      <c r="M22" s="23">
        <f>SUM('Resumen por Ubicación'!$L47:M47)</f>
        <v>0</v>
      </c>
      <c r="N22" s="23">
        <f>SUM('Resumen por Ubicación'!$L47:N47)</f>
        <v>0</v>
      </c>
      <c r="O22" s="23">
        <f>SUM('Resumen por Ubicación'!$L47:O47)</f>
        <v>0</v>
      </c>
      <c r="P22" s="23">
        <f>SUM('Resumen por Ubicación'!$L47:P47)</f>
        <v>0</v>
      </c>
      <c r="Q22" s="23">
        <f>SUM('Resumen por Ubicación'!$Q47:Q47)</f>
        <v>0</v>
      </c>
      <c r="R22" s="23">
        <f>SUM('Resumen por Ubicación'!$Q47:R47)</f>
        <v>1</v>
      </c>
      <c r="S22" s="23">
        <f>SUM('Resumen por Ubicación'!$Q47:S47)</f>
        <v>1</v>
      </c>
      <c r="T22" s="23">
        <f>SUM('Resumen por Ubicación'!$Q47:T47)</f>
        <v>2</v>
      </c>
      <c r="U22" s="23">
        <f>SUM('Resumen por Ubicación'!$Q47:U47)</f>
        <v>2</v>
      </c>
      <c r="V22" s="23">
        <f>SUM('Resumen por Ubicación'!$V47:V47)</f>
        <v>2</v>
      </c>
      <c r="W22" s="23">
        <f>SUM('Resumen por Ubicación'!$V47:W47)</f>
        <v>12</v>
      </c>
      <c r="X22" s="23">
        <f>SUM('Resumen por Ubicación'!$V47:X47)</f>
        <v>13</v>
      </c>
      <c r="Y22" s="23">
        <f>SUM('Resumen por Ubicación'!$V47:Y47)</f>
        <v>20</v>
      </c>
      <c r="Z22" s="23">
        <f>SUM('Resumen por Ubicación'!$V47:Z47)</f>
        <v>25</v>
      </c>
      <c r="AA22" s="23">
        <f t="shared" si="0"/>
        <v>1</v>
      </c>
      <c r="AB22" s="23">
        <f t="shared" si="1"/>
        <v>0</v>
      </c>
      <c r="AC22" s="23">
        <f t="shared" si="2"/>
        <v>0</v>
      </c>
    </row>
    <row r="23" spans="1:29" ht="16.5" customHeight="1" x14ac:dyDescent="0.25">
      <c r="A23" s="30" t="s">
        <v>1129</v>
      </c>
      <c r="B23" s="23">
        <f>SUM('Resumen por Ubicación'!$B48:B48)</f>
        <v>11</v>
      </c>
      <c r="C23" s="23">
        <f>SUM('Resumen por Ubicación'!$B48:C48)</f>
        <v>16</v>
      </c>
      <c r="D23" s="23">
        <f>SUM('Resumen por Ubicación'!$B48:D48)</f>
        <v>17</v>
      </c>
      <c r="E23" s="23">
        <f>SUM('Resumen por Ubicación'!$B48:E48)</f>
        <v>17</v>
      </c>
      <c r="F23" s="23">
        <f>SUM('Resumen por Ubicación'!$B48:F48)</f>
        <v>18</v>
      </c>
      <c r="G23" s="23">
        <f>SUM('Resumen por Ubicación'!$G48:G48)</f>
        <v>2</v>
      </c>
      <c r="H23" s="23">
        <f>SUM('Resumen por Ubicación'!$G48:H48)</f>
        <v>3</v>
      </c>
      <c r="I23" s="23">
        <f>SUM('Resumen por Ubicación'!$G48:I48)</f>
        <v>3</v>
      </c>
      <c r="J23" s="23">
        <f>SUM('Resumen por Ubicación'!$G48:J48)</f>
        <v>3</v>
      </c>
      <c r="K23" s="23">
        <f>SUM('Resumen por Ubicación'!$G48:K48)</f>
        <v>3</v>
      </c>
      <c r="L23" s="23">
        <f>SUM('Resumen por Ubicación'!$L48:L48)</f>
        <v>0</v>
      </c>
      <c r="M23" s="23">
        <f>SUM('Resumen por Ubicación'!$L48:M48)</f>
        <v>0</v>
      </c>
      <c r="N23" s="23">
        <f>SUM('Resumen por Ubicación'!$L48:N48)</f>
        <v>0</v>
      </c>
      <c r="O23" s="23">
        <f>SUM('Resumen por Ubicación'!$L48:O48)</f>
        <v>0</v>
      </c>
      <c r="P23" s="23">
        <f>SUM('Resumen por Ubicación'!$L48:P48)</f>
        <v>0</v>
      </c>
      <c r="Q23" s="23">
        <f>SUM('Resumen por Ubicación'!$Q48:Q48)</f>
        <v>0</v>
      </c>
      <c r="R23" s="23">
        <f>SUM('Resumen por Ubicación'!$Q48:R48)</f>
        <v>0</v>
      </c>
      <c r="S23" s="23">
        <f>SUM('Resumen por Ubicación'!$Q48:S48)</f>
        <v>0</v>
      </c>
      <c r="T23" s="23">
        <f>SUM('Resumen por Ubicación'!$Q48:T48)</f>
        <v>0</v>
      </c>
      <c r="U23" s="23">
        <f>SUM('Resumen por Ubicación'!$Q48:U48)</f>
        <v>0</v>
      </c>
      <c r="V23" s="23">
        <f>SUM('Resumen por Ubicación'!$V48:V48)</f>
        <v>13</v>
      </c>
      <c r="W23" s="23">
        <f>SUM('Resumen por Ubicación'!$V48:W48)</f>
        <v>19</v>
      </c>
      <c r="X23" s="23">
        <f>SUM('Resumen por Ubicación'!$V48:X48)</f>
        <v>20</v>
      </c>
      <c r="Y23" s="23">
        <f>SUM('Resumen por Ubicación'!$V48:Y48)</f>
        <v>20</v>
      </c>
      <c r="Z23" s="23">
        <f>SUM('Resumen por Ubicación'!$V48:Z48)</f>
        <v>21</v>
      </c>
      <c r="AA23" s="23">
        <f t="shared" si="0"/>
        <v>5</v>
      </c>
      <c r="AB23" s="23">
        <f t="shared" si="1"/>
        <v>0</v>
      </c>
      <c r="AC23" s="23">
        <f t="shared" si="2"/>
        <v>7</v>
      </c>
    </row>
    <row r="24" spans="1:29" ht="16.5" customHeight="1" x14ac:dyDescent="0.25">
      <c r="A24" s="21" t="s">
        <v>150</v>
      </c>
      <c r="B24" s="22">
        <f t="shared" ref="B24:AC24" si="3">SUM(B4:B23)</f>
        <v>17</v>
      </c>
      <c r="C24" s="22">
        <f t="shared" si="3"/>
        <v>68</v>
      </c>
      <c r="D24" s="22">
        <f t="shared" si="3"/>
        <v>90</v>
      </c>
      <c r="E24" s="22">
        <f t="shared" si="3"/>
        <v>128</v>
      </c>
      <c r="F24" s="22">
        <f t="shared" si="3"/>
        <v>145</v>
      </c>
      <c r="G24" s="22">
        <f t="shared" si="3"/>
        <v>7</v>
      </c>
      <c r="H24" s="22">
        <f t="shared" si="3"/>
        <v>32</v>
      </c>
      <c r="I24" s="22">
        <f t="shared" si="3"/>
        <v>47</v>
      </c>
      <c r="J24" s="22">
        <f t="shared" si="3"/>
        <v>63</v>
      </c>
      <c r="K24" s="22">
        <f t="shared" si="3"/>
        <v>74</v>
      </c>
      <c r="L24" s="22">
        <f t="shared" si="3"/>
        <v>1</v>
      </c>
      <c r="M24" s="22">
        <f t="shared" si="3"/>
        <v>11</v>
      </c>
      <c r="N24" s="22">
        <f t="shared" si="3"/>
        <v>21</v>
      </c>
      <c r="O24" s="22">
        <f t="shared" si="3"/>
        <v>29</v>
      </c>
      <c r="P24" s="22">
        <f t="shared" si="3"/>
        <v>40</v>
      </c>
      <c r="Q24" s="22">
        <f t="shared" si="3"/>
        <v>4</v>
      </c>
      <c r="R24" s="22">
        <f t="shared" si="3"/>
        <v>14</v>
      </c>
      <c r="S24" s="22">
        <f t="shared" si="3"/>
        <v>16</v>
      </c>
      <c r="T24" s="22">
        <f t="shared" si="3"/>
        <v>23</v>
      </c>
      <c r="U24" s="22">
        <f t="shared" si="3"/>
        <v>30</v>
      </c>
      <c r="V24" s="22">
        <f t="shared" si="3"/>
        <v>29</v>
      </c>
      <c r="W24" s="22">
        <f t="shared" si="3"/>
        <v>125</v>
      </c>
      <c r="X24" s="22">
        <f t="shared" si="3"/>
        <v>174</v>
      </c>
      <c r="Y24" s="22">
        <f t="shared" si="3"/>
        <v>243</v>
      </c>
      <c r="Z24" s="22">
        <f t="shared" si="3"/>
        <v>289</v>
      </c>
      <c r="AA24" s="22">
        <f t="shared" si="3"/>
        <v>70</v>
      </c>
      <c r="AB24" s="22">
        <f t="shared" si="3"/>
        <v>6</v>
      </c>
      <c r="AC24" s="22">
        <f t="shared" si="3"/>
        <v>17</v>
      </c>
    </row>
    <row r="25" spans="1:29" ht="16.5" customHeight="1" x14ac:dyDescent="0.25">
      <c r="A25" s="58" t="s">
        <v>151</v>
      </c>
      <c r="B25" s="132" t="e">
        <f>'Resumen por Ubicación'!B50:F50</f>
        <v>#REF!</v>
      </c>
      <c r="C25" s="132"/>
      <c r="D25" s="132"/>
      <c r="E25" s="132"/>
      <c r="F25" s="132"/>
      <c r="G25" s="132" t="e">
        <f>'Resumen por Ubicación'!G50:K50</f>
        <v>#REF!</v>
      </c>
      <c r="H25" s="132"/>
      <c r="I25" s="132"/>
      <c r="J25" s="132"/>
      <c r="K25" s="132"/>
      <c r="L25" s="132" t="e">
        <f>'Resumen por Ubicación'!L50:P50</f>
        <v>#REF!</v>
      </c>
      <c r="M25" s="132"/>
      <c r="N25" s="132"/>
      <c r="O25" s="132"/>
      <c r="P25" s="132"/>
      <c r="Q25" s="132" t="e">
        <f>'Resumen por Ubicación'!Q50:U50</f>
        <v>#REF!</v>
      </c>
      <c r="R25" s="132"/>
      <c r="S25" s="132"/>
      <c r="T25" s="132"/>
      <c r="U25" s="132"/>
      <c r="V25" s="132" t="e">
        <f>'Resumen por Ubicación'!V50:Z50</f>
        <v>#REF!</v>
      </c>
      <c r="W25" s="132"/>
      <c r="X25" s="132"/>
      <c r="Y25" s="132"/>
      <c r="Z25" s="132"/>
    </row>
    <row r="27" spans="1:29" x14ac:dyDescent="0.25">
      <c r="A27" s="135" t="s">
        <v>1146</v>
      </c>
      <c r="B27" s="136" t="s">
        <v>141</v>
      </c>
      <c r="C27" s="136"/>
      <c r="D27" s="136"/>
      <c r="E27" s="136"/>
      <c r="F27" s="136"/>
      <c r="G27" s="137" t="s">
        <v>142</v>
      </c>
      <c r="H27" s="137"/>
      <c r="I27" s="137"/>
      <c r="J27" s="137"/>
      <c r="K27" s="137"/>
      <c r="L27" s="138" t="s">
        <v>143</v>
      </c>
      <c r="M27" s="138"/>
      <c r="N27" s="138"/>
      <c r="O27" s="138"/>
      <c r="P27" s="138"/>
      <c r="Q27" s="139" t="s">
        <v>144</v>
      </c>
      <c r="R27" s="139"/>
      <c r="S27" s="139"/>
      <c r="T27" s="139"/>
      <c r="U27" s="139"/>
      <c r="V27" s="134" t="s">
        <v>145</v>
      </c>
      <c r="W27" s="134"/>
      <c r="X27" s="134"/>
      <c r="Y27" s="134"/>
      <c r="Z27" s="134"/>
      <c r="AA27" s="133" t="s">
        <v>146</v>
      </c>
      <c r="AB27" s="133"/>
      <c r="AC27" s="133"/>
    </row>
    <row r="28" spans="1:29" x14ac:dyDescent="0.25">
      <c r="A28" s="135"/>
      <c r="B28" s="56" t="s">
        <v>34</v>
      </c>
      <c r="C28" s="56" t="s">
        <v>55</v>
      </c>
      <c r="D28" s="56" t="s">
        <v>40</v>
      </c>
      <c r="E28" s="56" t="s">
        <v>41</v>
      </c>
      <c r="F28" s="56" t="s">
        <v>45</v>
      </c>
      <c r="G28" s="56" t="s">
        <v>34</v>
      </c>
      <c r="H28" s="56" t="s">
        <v>55</v>
      </c>
      <c r="I28" s="56" t="s">
        <v>40</v>
      </c>
      <c r="J28" s="56" t="s">
        <v>41</v>
      </c>
      <c r="K28" s="56" t="s">
        <v>45</v>
      </c>
      <c r="L28" s="56" t="s">
        <v>34</v>
      </c>
      <c r="M28" s="56" t="s">
        <v>55</v>
      </c>
      <c r="N28" s="56" t="s">
        <v>40</v>
      </c>
      <c r="O28" s="56" t="s">
        <v>41</v>
      </c>
      <c r="P28" s="56" t="s">
        <v>45</v>
      </c>
      <c r="Q28" s="56" t="s">
        <v>34</v>
      </c>
      <c r="R28" s="56" t="s">
        <v>55</v>
      </c>
      <c r="S28" s="56" t="s">
        <v>40</v>
      </c>
      <c r="T28" s="56" t="s">
        <v>41</v>
      </c>
      <c r="U28" s="56" t="s">
        <v>45</v>
      </c>
      <c r="V28" s="56" t="s">
        <v>34</v>
      </c>
      <c r="W28" s="56" t="s">
        <v>55</v>
      </c>
      <c r="X28" s="56" t="s">
        <v>40</v>
      </c>
      <c r="Y28" s="56" t="s">
        <v>41</v>
      </c>
      <c r="Z28" s="56" t="s">
        <v>45</v>
      </c>
      <c r="AA28" s="57" t="s">
        <v>147</v>
      </c>
      <c r="AB28" s="57" t="s">
        <v>148</v>
      </c>
      <c r="AC28" s="57" t="s">
        <v>149</v>
      </c>
    </row>
    <row r="29" spans="1:29" x14ac:dyDescent="0.25">
      <c r="A29" s="30" t="s">
        <v>1122</v>
      </c>
      <c r="B29" s="23">
        <f>COUNTIFS(EQUIPOS,$A29,CRITICIDAD,B$28,PROVINCIAS,'Resumen por Ubicación'!B$1)</f>
        <v>1</v>
      </c>
      <c r="C29" s="23">
        <f>COUNTIFS(EQUIPOS,$A29,CRITICIDAD,C$28,PROVINCIAS,'Resumen por Ubicación'!C$1)</f>
        <v>0</v>
      </c>
      <c r="D29" s="23">
        <f>COUNTIFS(EQUIPOS,$A29,CRITICIDAD,D$28,PROVINCIAS,'Resumen por Ubicación'!D$1)</f>
        <v>0</v>
      </c>
      <c r="E29" s="23">
        <f>COUNTIFS(EQUIPOS,$A29,CRITICIDAD,E$28,PROVINCIAS,'Resumen por Ubicación'!E$1)</f>
        <v>0</v>
      </c>
      <c r="F29" s="23">
        <f>COUNTIFS(EQUIPOS,$A29,CRITICIDAD,F$28,PROVINCIAS,'Resumen por Ubicación'!F$1)</f>
        <v>0</v>
      </c>
      <c r="G29" s="23">
        <f>COUNTIFS(EQUIPOS,$A29,CRITICIDAD,G$28,PROVINCIAS,'Resumen por Ubicación'!G$1)</f>
        <v>0</v>
      </c>
      <c r="H29" s="23">
        <f>COUNTIFS(EQUIPOS,$A29,CRITICIDAD,H$28,PROVINCIAS,'Resumen por Ubicación'!H$1)</f>
        <v>0</v>
      </c>
      <c r="I29" s="23">
        <f>COUNTIFS(EQUIPOS,$A29,CRITICIDAD,I$28,PROVINCIAS,'Resumen por Ubicación'!I$1)</f>
        <v>0</v>
      </c>
      <c r="J29" s="23">
        <f>COUNTIFS(EQUIPOS,$A29,CRITICIDAD,J$28,PROVINCIAS,'Resumen por Ubicación'!J$1)</f>
        <v>0</v>
      </c>
      <c r="K29" s="23">
        <f>COUNTIFS(EQUIPOS,$A29,CRITICIDAD,K$28,PROVINCIAS,'Resumen por Ubicación'!K$1)</f>
        <v>0</v>
      </c>
      <c r="L29" s="23">
        <f>COUNTIFS(EQUIPOS,$A29,CRITICIDAD,L$28,PROVINCIAS,'Resumen por Ubicación'!L$1)</f>
        <v>0</v>
      </c>
      <c r="M29" s="23">
        <f>COUNTIFS(EQUIPOS,$A29,CRITICIDAD,M$28,PROVINCIAS,'Resumen por Ubicación'!M$1)</f>
        <v>0</v>
      </c>
      <c r="N29" s="23">
        <f>COUNTIFS(EQUIPOS,$A29,CRITICIDAD,N$28,PROVINCIAS,'Resumen por Ubicación'!N$1)</f>
        <v>0</v>
      </c>
      <c r="O29" s="23">
        <f>COUNTIFS(EQUIPOS,$A29,CRITICIDAD,O$28,PROVINCIAS,'Resumen por Ubicación'!O$1)</f>
        <v>0</v>
      </c>
      <c r="P29" s="23">
        <f>COUNTIFS(EQUIPOS,$A29,CRITICIDAD,P$28,PROVINCIAS,'Resumen por Ubicación'!P$1)</f>
        <v>0</v>
      </c>
      <c r="Q29" s="23">
        <f t="shared" ref="Q29:Q48" si="4">COUNTIFS(EQUIPOS,$A29,CRITICIDAD,Q$28)-B29-G29-L29</f>
        <v>0</v>
      </c>
      <c r="R29" s="23">
        <f t="shared" ref="R29:R48" si="5">COUNTIFS(EQUIPOS,$A29,CRITICIDAD,R$28)-C29-H29-M29</f>
        <v>0</v>
      </c>
      <c r="S29" s="23">
        <f t="shared" ref="S29:S48" si="6">COUNTIFS(EQUIPOS,$A29,CRITICIDAD,S$28)-D29-I29-N29</f>
        <v>0</v>
      </c>
      <c r="T29" s="23">
        <f t="shared" ref="T29:T48" si="7">COUNTIFS(EQUIPOS,$A29,CRITICIDAD,T$28)-E29-J29-O29</f>
        <v>0</v>
      </c>
      <c r="U29" s="23">
        <f t="shared" ref="U29:U48" si="8">COUNTIFS(EQUIPOS,$A29,CRITICIDAD,U$28)-F29-K29-P29</f>
        <v>0</v>
      </c>
      <c r="V29" s="23">
        <f t="shared" ref="V29:V48" si="9">B29+G29+L29+Q29</f>
        <v>1</v>
      </c>
      <c r="W29" s="23">
        <f t="shared" ref="W29:W48" si="10">C29+H29+M29+R29</f>
        <v>0</v>
      </c>
      <c r="X29" s="23">
        <f t="shared" ref="X29:X48" si="11">D29+I29+N29+S29</f>
        <v>0</v>
      </c>
      <c r="Y29" s="23">
        <f t="shared" ref="Y29:Y48" si="12">E29+J29+O29+T29</f>
        <v>0</v>
      </c>
      <c r="Z29" s="23">
        <f t="shared" ref="Z29:Z48" si="13">F29+K29+P29+U29</f>
        <v>0</v>
      </c>
      <c r="AA29" s="23">
        <f t="shared" ref="AA29:AA48" si="14">COUNTIFS(EQUIPOS,$A29,CRITICIDAD,"Backup1")+COUNTIFS(EQUIPOS,$A29,CRITICIDAD,"Backup2")+COUNTIFS(EQUIPOS,$A29,CRITICIDAD,"Backup3")</f>
        <v>2</v>
      </c>
      <c r="AB29" s="23">
        <f t="shared" ref="AB29:AB48" si="15">COUNTIFS(EQUIPOS,$A29,CRITICIDAD,"Ext. Área")</f>
        <v>0</v>
      </c>
      <c r="AC29" s="23">
        <f t="shared" ref="AC29:AC48" si="16">COUNTIFS(EQUIPOS,$A29,CRITICIDAD,"Ext. HRE")</f>
        <v>0</v>
      </c>
    </row>
    <row r="30" spans="1:29" x14ac:dyDescent="0.25">
      <c r="A30" s="30" t="s">
        <v>1123</v>
      </c>
      <c r="B30" s="23">
        <f>COUNTIFS(EQUIPOS,$A30,CRITICIDAD,B$28,PROVINCIAS,'Resumen por Ubicación'!B$1)</f>
        <v>0</v>
      </c>
      <c r="C30" s="23">
        <f>COUNTIFS(EQUIPOS,$A30,CRITICIDAD,C$28,PROVINCIAS,'Resumen por Ubicación'!C$1)</f>
        <v>0</v>
      </c>
      <c r="D30" s="23">
        <f>COUNTIFS(EQUIPOS,$A30,CRITICIDAD,D$28,PROVINCIAS,'Resumen por Ubicación'!D$1)</f>
        <v>1</v>
      </c>
      <c r="E30" s="23">
        <f>COUNTIFS(EQUIPOS,$A30,CRITICIDAD,E$28,PROVINCIAS,'Resumen por Ubicación'!E$1)</f>
        <v>3</v>
      </c>
      <c r="F30" s="23">
        <f>COUNTIFS(EQUIPOS,$A30,CRITICIDAD,F$28,PROVINCIAS,'Resumen por Ubicación'!F$1)</f>
        <v>0</v>
      </c>
      <c r="G30" s="23">
        <f>COUNTIFS(EQUIPOS,$A30,CRITICIDAD,G$28,PROVINCIAS,'Resumen por Ubicación'!G$1)</f>
        <v>1</v>
      </c>
      <c r="H30" s="23">
        <f>COUNTIFS(EQUIPOS,$A30,CRITICIDAD,H$28,PROVINCIAS,'Resumen por Ubicación'!H$1)</f>
        <v>0</v>
      </c>
      <c r="I30" s="23">
        <f>COUNTIFS(EQUIPOS,$A30,CRITICIDAD,I$28,PROVINCIAS,'Resumen por Ubicación'!I$1)</f>
        <v>0</v>
      </c>
      <c r="J30" s="23">
        <f>COUNTIFS(EQUIPOS,$A30,CRITICIDAD,J$28,PROVINCIAS,'Resumen por Ubicación'!J$1)</f>
        <v>0</v>
      </c>
      <c r="K30" s="23">
        <f>COUNTIFS(EQUIPOS,$A30,CRITICIDAD,K$28,PROVINCIAS,'Resumen por Ubicación'!K$1)</f>
        <v>0</v>
      </c>
      <c r="L30" s="23">
        <f>COUNTIFS(EQUIPOS,$A30,CRITICIDAD,L$28,PROVINCIAS,'Resumen por Ubicación'!L$1)</f>
        <v>0</v>
      </c>
      <c r="M30" s="23">
        <f>COUNTIFS(EQUIPOS,$A30,CRITICIDAD,M$28,PROVINCIAS,'Resumen por Ubicación'!M$1)</f>
        <v>0</v>
      </c>
      <c r="N30" s="23">
        <f>COUNTIFS(EQUIPOS,$A30,CRITICIDAD,N$28,PROVINCIAS,'Resumen por Ubicación'!N$1)</f>
        <v>0</v>
      </c>
      <c r="O30" s="23">
        <f>COUNTIFS(EQUIPOS,$A30,CRITICIDAD,O$28,PROVINCIAS,'Resumen por Ubicación'!O$1)</f>
        <v>0</v>
      </c>
      <c r="P30" s="23">
        <f>COUNTIFS(EQUIPOS,$A30,CRITICIDAD,P$28,PROVINCIAS,'Resumen por Ubicación'!P$1)</f>
        <v>0</v>
      </c>
      <c r="Q30" s="23">
        <f t="shared" si="4"/>
        <v>1</v>
      </c>
      <c r="R30" s="23">
        <f t="shared" si="5"/>
        <v>0</v>
      </c>
      <c r="S30" s="23">
        <f t="shared" si="6"/>
        <v>0</v>
      </c>
      <c r="T30" s="23">
        <f t="shared" si="7"/>
        <v>0</v>
      </c>
      <c r="U30" s="23">
        <f t="shared" si="8"/>
        <v>0</v>
      </c>
      <c r="V30" s="23">
        <f t="shared" si="9"/>
        <v>2</v>
      </c>
      <c r="W30" s="23">
        <f t="shared" si="10"/>
        <v>0</v>
      </c>
      <c r="X30" s="23">
        <f t="shared" si="11"/>
        <v>1</v>
      </c>
      <c r="Y30" s="23">
        <f t="shared" si="12"/>
        <v>3</v>
      </c>
      <c r="Z30" s="23">
        <f t="shared" si="13"/>
        <v>0</v>
      </c>
      <c r="AA30" s="23">
        <f t="shared" si="14"/>
        <v>6</v>
      </c>
      <c r="AB30" s="23">
        <f t="shared" si="15"/>
        <v>0</v>
      </c>
      <c r="AC30" s="23">
        <f t="shared" si="16"/>
        <v>2</v>
      </c>
    </row>
    <row r="31" spans="1:29" x14ac:dyDescent="0.25">
      <c r="A31" s="30" t="s">
        <v>1125</v>
      </c>
      <c r="B31" s="23">
        <f>COUNTIFS(EQUIPOS,$A31,CRITICIDAD,B$28,PROVINCIAS,'Resumen por Ubicación'!B$1)</f>
        <v>0</v>
      </c>
      <c r="C31" s="23">
        <f>COUNTIFS(EQUIPOS,$A31,CRITICIDAD,C$28,PROVINCIAS,'Resumen por Ubicación'!C$1)</f>
        <v>1</v>
      </c>
      <c r="D31" s="23">
        <f>COUNTIFS(EQUIPOS,$A31,CRITICIDAD,D$28,PROVINCIAS,'Resumen por Ubicación'!D$1)</f>
        <v>1</v>
      </c>
      <c r="E31" s="23">
        <f>COUNTIFS(EQUIPOS,$A31,CRITICIDAD,E$28,PROVINCIAS,'Resumen por Ubicación'!E$1)</f>
        <v>0</v>
      </c>
      <c r="F31" s="23">
        <f>COUNTIFS(EQUIPOS,$A31,CRITICIDAD,F$28,PROVINCIAS,'Resumen por Ubicación'!F$1)</f>
        <v>0</v>
      </c>
      <c r="G31" s="23">
        <f>COUNTIFS(EQUIPOS,$A31,CRITICIDAD,G$28,PROVINCIAS,'Resumen por Ubicación'!G$1)</f>
        <v>0</v>
      </c>
      <c r="H31" s="23">
        <f>COUNTIFS(EQUIPOS,$A31,CRITICIDAD,H$28,PROVINCIAS,'Resumen por Ubicación'!H$1)</f>
        <v>1</v>
      </c>
      <c r="I31" s="23">
        <f>COUNTIFS(EQUIPOS,$A31,CRITICIDAD,I$28,PROVINCIAS,'Resumen por Ubicación'!I$1)</f>
        <v>1</v>
      </c>
      <c r="J31" s="23">
        <f>COUNTIFS(EQUIPOS,$A31,CRITICIDAD,J$28,PROVINCIAS,'Resumen por Ubicación'!J$1)</f>
        <v>0</v>
      </c>
      <c r="K31" s="23">
        <f>COUNTIFS(EQUIPOS,$A31,CRITICIDAD,K$28,PROVINCIAS,'Resumen por Ubicación'!K$1)</f>
        <v>0</v>
      </c>
      <c r="L31" s="23">
        <f>COUNTIFS(EQUIPOS,$A31,CRITICIDAD,L$28,PROVINCIAS,'Resumen por Ubicación'!L$1)</f>
        <v>0</v>
      </c>
      <c r="M31" s="23">
        <f>COUNTIFS(EQUIPOS,$A31,CRITICIDAD,M$28,PROVINCIAS,'Resumen por Ubicación'!M$1)</f>
        <v>0</v>
      </c>
      <c r="N31" s="23">
        <f>COUNTIFS(EQUIPOS,$A31,CRITICIDAD,N$28,PROVINCIAS,'Resumen por Ubicación'!N$1)</f>
        <v>1</v>
      </c>
      <c r="O31" s="23">
        <f>COUNTIFS(EQUIPOS,$A31,CRITICIDAD,O$28,PROVINCIAS,'Resumen por Ubicación'!O$1)</f>
        <v>0</v>
      </c>
      <c r="P31" s="23">
        <f>COUNTIFS(EQUIPOS,$A31,CRITICIDAD,P$28,PROVINCIAS,'Resumen por Ubicación'!P$1)</f>
        <v>0</v>
      </c>
      <c r="Q31" s="23">
        <f t="shared" si="4"/>
        <v>0</v>
      </c>
      <c r="R31" s="23">
        <f t="shared" si="5"/>
        <v>0</v>
      </c>
      <c r="S31" s="23">
        <f t="shared" si="6"/>
        <v>0</v>
      </c>
      <c r="T31" s="23">
        <f t="shared" si="7"/>
        <v>0</v>
      </c>
      <c r="U31" s="23">
        <f t="shared" si="8"/>
        <v>0</v>
      </c>
      <c r="V31" s="23">
        <f t="shared" si="9"/>
        <v>0</v>
      </c>
      <c r="W31" s="23">
        <f t="shared" si="10"/>
        <v>2</v>
      </c>
      <c r="X31" s="23">
        <f t="shared" si="11"/>
        <v>3</v>
      </c>
      <c r="Y31" s="23">
        <f t="shared" si="12"/>
        <v>0</v>
      </c>
      <c r="Z31" s="23">
        <f t="shared" si="13"/>
        <v>0</v>
      </c>
      <c r="AA31" s="23">
        <f t="shared" si="14"/>
        <v>1</v>
      </c>
      <c r="AB31" s="23">
        <f t="shared" si="15"/>
        <v>0</v>
      </c>
      <c r="AC31" s="23">
        <f t="shared" si="16"/>
        <v>0</v>
      </c>
    </row>
    <row r="32" spans="1:29" x14ac:dyDescent="0.25">
      <c r="A32" s="30" t="s">
        <v>1126</v>
      </c>
      <c r="B32" s="23">
        <f>COUNTIFS(EQUIPOS,$A32,CRITICIDAD,B$28,PROVINCIAS,'Resumen por Ubicación'!B$1)</f>
        <v>0</v>
      </c>
      <c r="C32" s="23">
        <f>COUNTIFS(EQUIPOS,$A32,CRITICIDAD,C$28,PROVINCIAS,'Resumen por Ubicación'!C$1)</f>
        <v>0</v>
      </c>
      <c r="D32" s="23">
        <f>COUNTIFS(EQUIPOS,$A32,CRITICIDAD,D$28,PROVINCIAS,'Resumen por Ubicación'!D$1)</f>
        <v>0</v>
      </c>
      <c r="E32" s="23">
        <f>COUNTIFS(EQUIPOS,$A32,CRITICIDAD,E$28,PROVINCIAS,'Resumen por Ubicación'!E$1)</f>
        <v>0</v>
      </c>
      <c r="F32" s="23">
        <f>COUNTIFS(EQUIPOS,$A32,CRITICIDAD,F$28,PROVINCIAS,'Resumen por Ubicación'!F$1)</f>
        <v>0</v>
      </c>
      <c r="G32" s="23">
        <f>COUNTIFS(EQUIPOS,$A32,CRITICIDAD,G$28,PROVINCIAS,'Resumen por Ubicación'!G$1)</f>
        <v>0</v>
      </c>
      <c r="H32" s="23">
        <f>COUNTIFS(EQUIPOS,$A32,CRITICIDAD,H$28,PROVINCIAS,'Resumen por Ubicación'!H$1)</f>
        <v>5</v>
      </c>
      <c r="I32" s="23">
        <f>COUNTIFS(EQUIPOS,$A32,CRITICIDAD,I$28,PROVINCIAS,'Resumen por Ubicación'!I$1)</f>
        <v>2</v>
      </c>
      <c r="J32" s="23">
        <f>COUNTIFS(EQUIPOS,$A32,CRITICIDAD,J$28,PROVINCIAS,'Resumen por Ubicación'!J$1)</f>
        <v>1</v>
      </c>
      <c r="K32" s="23">
        <f>COUNTIFS(EQUIPOS,$A32,CRITICIDAD,K$28,PROVINCIAS,'Resumen por Ubicación'!K$1)</f>
        <v>2</v>
      </c>
      <c r="L32" s="23">
        <f>COUNTIFS(EQUIPOS,$A32,CRITICIDAD,L$28,PROVINCIAS,'Resumen por Ubicación'!L$1)</f>
        <v>0</v>
      </c>
      <c r="M32" s="23">
        <f>COUNTIFS(EQUIPOS,$A32,CRITICIDAD,M$28,PROVINCIAS,'Resumen por Ubicación'!M$1)</f>
        <v>2</v>
      </c>
      <c r="N32" s="23">
        <f>COUNTIFS(EQUIPOS,$A32,CRITICIDAD,N$28,PROVINCIAS,'Resumen por Ubicación'!N$1)</f>
        <v>3</v>
      </c>
      <c r="O32" s="23">
        <f>COUNTIFS(EQUIPOS,$A32,CRITICIDAD,O$28,PROVINCIAS,'Resumen por Ubicación'!O$1)</f>
        <v>2</v>
      </c>
      <c r="P32" s="23">
        <f>COUNTIFS(EQUIPOS,$A32,CRITICIDAD,P$28,PROVINCIAS,'Resumen por Ubicación'!P$1)</f>
        <v>2</v>
      </c>
      <c r="Q32" s="23">
        <f t="shared" si="4"/>
        <v>0</v>
      </c>
      <c r="R32" s="23">
        <f t="shared" si="5"/>
        <v>0</v>
      </c>
      <c r="S32" s="23">
        <f t="shared" si="6"/>
        <v>0</v>
      </c>
      <c r="T32" s="23">
        <f t="shared" si="7"/>
        <v>0</v>
      </c>
      <c r="U32" s="23">
        <f t="shared" si="8"/>
        <v>0</v>
      </c>
      <c r="V32" s="23">
        <f t="shared" si="9"/>
        <v>0</v>
      </c>
      <c r="W32" s="23">
        <f t="shared" si="10"/>
        <v>7</v>
      </c>
      <c r="X32" s="23">
        <f t="shared" si="11"/>
        <v>5</v>
      </c>
      <c r="Y32" s="23">
        <f t="shared" si="12"/>
        <v>3</v>
      </c>
      <c r="Z32" s="23">
        <f t="shared" si="13"/>
        <v>4</v>
      </c>
      <c r="AA32" s="23">
        <f t="shared" si="14"/>
        <v>4</v>
      </c>
      <c r="AB32" s="23">
        <f t="shared" si="15"/>
        <v>0</v>
      </c>
      <c r="AC32" s="23">
        <f t="shared" si="16"/>
        <v>0</v>
      </c>
    </row>
    <row r="33" spans="1:29" x14ac:dyDescent="0.25">
      <c r="A33" s="30" t="s">
        <v>1127</v>
      </c>
      <c r="B33" s="23">
        <f>COUNTIFS(EQUIPOS,$A33,CRITICIDAD,B$28,PROVINCIAS,'Resumen por Ubicación'!B$1)</f>
        <v>0</v>
      </c>
      <c r="C33" s="23">
        <f>COUNTIFS(EQUIPOS,$A33,CRITICIDAD,C$28,PROVINCIAS,'Resumen por Ubicación'!C$1)</f>
        <v>0</v>
      </c>
      <c r="D33" s="23">
        <f>COUNTIFS(EQUIPOS,$A33,CRITICIDAD,D$28,PROVINCIAS,'Resumen por Ubicación'!D$1)</f>
        <v>0</v>
      </c>
      <c r="E33" s="23">
        <f>COUNTIFS(EQUIPOS,$A33,CRITICIDAD,E$28,PROVINCIAS,'Resumen por Ubicación'!E$1)</f>
        <v>4</v>
      </c>
      <c r="F33" s="23">
        <f>COUNTIFS(EQUIPOS,$A33,CRITICIDAD,F$28,PROVINCIAS,'Resumen por Ubicación'!F$1)</f>
        <v>1</v>
      </c>
      <c r="G33" s="23">
        <f>COUNTIFS(EQUIPOS,$A33,CRITICIDAD,G$28,PROVINCIAS,'Resumen por Ubicación'!G$1)</f>
        <v>0</v>
      </c>
      <c r="H33" s="23">
        <f>COUNTIFS(EQUIPOS,$A33,CRITICIDAD,H$28,PROVINCIAS,'Resumen por Ubicación'!H$1)</f>
        <v>0</v>
      </c>
      <c r="I33" s="23">
        <f>COUNTIFS(EQUIPOS,$A33,CRITICIDAD,I$28,PROVINCIAS,'Resumen por Ubicación'!I$1)</f>
        <v>0</v>
      </c>
      <c r="J33" s="23">
        <f>COUNTIFS(EQUIPOS,$A33,CRITICIDAD,J$28,PROVINCIAS,'Resumen por Ubicación'!J$1)</f>
        <v>1</v>
      </c>
      <c r="K33" s="23">
        <f>COUNTIFS(EQUIPOS,$A33,CRITICIDAD,K$28,PROVINCIAS,'Resumen por Ubicación'!K$1)</f>
        <v>1</v>
      </c>
      <c r="L33" s="23">
        <f>COUNTIFS(EQUIPOS,$A33,CRITICIDAD,L$28,PROVINCIAS,'Resumen por Ubicación'!L$1)</f>
        <v>0</v>
      </c>
      <c r="M33" s="23">
        <f>COUNTIFS(EQUIPOS,$A33,CRITICIDAD,M$28,PROVINCIAS,'Resumen por Ubicación'!M$1)</f>
        <v>0</v>
      </c>
      <c r="N33" s="23">
        <f>COUNTIFS(EQUIPOS,$A33,CRITICIDAD,N$28,PROVINCIAS,'Resumen por Ubicación'!N$1)</f>
        <v>0</v>
      </c>
      <c r="O33" s="23">
        <f>COUNTIFS(EQUIPOS,$A33,CRITICIDAD,O$28,PROVINCIAS,'Resumen por Ubicación'!O$1)</f>
        <v>0</v>
      </c>
      <c r="P33" s="23">
        <f>COUNTIFS(EQUIPOS,$A33,CRITICIDAD,P$28,PROVINCIAS,'Resumen por Ubicación'!P$1)</f>
        <v>0</v>
      </c>
      <c r="Q33" s="23">
        <f t="shared" si="4"/>
        <v>0</v>
      </c>
      <c r="R33" s="23">
        <f t="shared" si="5"/>
        <v>0</v>
      </c>
      <c r="S33" s="23">
        <f t="shared" si="6"/>
        <v>0</v>
      </c>
      <c r="T33" s="23">
        <f t="shared" si="7"/>
        <v>0</v>
      </c>
      <c r="U33" s="23">
        <f t="shared" si="8"/>
        <v>0</v>
      </c>
      <c r="V33" s="23">
        <f t="shared" si="9"/>
        <v>0</v>
      </c>
      <c r="W33" s="23">
        <f t="shared" si="10"/>
        <v>0</v>
      </c>
      <c r="X33" s="23">
        <f t="shared" si="11"/>
        <v>0</v>
      </c>
      <c r="Y33" s="23">
        <f t="shared" si="12"/>
        <v>5</v>
      </c>
      <c r="Z33" s="23">
        <f t="shared" si="13"/>
        <v>2</v>
      </c>
      <c r="AA33" s="23">
        <f t="shared" si="14"/>
        <v>2</v>
      </c>
      <c r="AB33" s="23">
        <f t="shared" si="15"/>
        <v>2</v>
      </c>
      <c r="AC33" s="23">
        <f t="shared" si="16"/>
        <v>0</v>
      </c>
    </row>
    <row r="34" spans="1:29" x14ac:dyDescent="0.25">
      <c r="A34" s="30" t="s">
        <v>1138</v>
      </c>
      <c r="B34" s="23">
        <f>COUNTIFS(EQUIPOS,$A34,CRITICIDAD,B$28,PROVINCIAS,'Resumen por Ubicación'!B$1)</f>
        <v>0</v>
      </c>
      <c r="C34" s="23">
        <f>COUNTIFS(EQUIPOS,$A34,CRITICIDAD,C$28,PROVINCIAS,'Resumen por Ubicación'!C$1)</f>
        <v>0</v>
      </c>
      <c r="D34" s="23">
        <f>COUNTIFS(EQUIPOS,$A34,CRITICIDAD,D$28,PROVINCIAS,'Resumen por Ubicación'!D$1)</f>
        <v>0</v>
      </c>
      <c r="E34" s="23">
        <f>COUNTIFS(EQUIPOS,$A34,CRITICIDAD,E$28,PROVINCIAS,'Resumen por Ubicación'!E$1)</f>
        <v>0</v>
      </c>
      <c r="F34" s="23">
        <f>COUNTIFS(EQUIPOS,$A34,CRITICIDAD,F$28,PROVINCIAS,'Resumen por Ubicación'!F$1)</f>
        <v>0</v>
      </c>
      <c r="G34" s="23">
        <f>COUNTIFS(EQUIPOS,$A34,CRITICIDAD,G$28,PROVINCIAS,'Resumen por Ubicación'!G$1)</f>
        <v>0</v>
      </c>
      <c r="H34" s="23">
        <f>COUNTIFS(EQUIPOS,$A34,CRITICIDAD,H$28,PROVINCIAS,'Resumen por Ubicación'!H$1)</f>
        <v>0</v>
      </c>
      <c r="I34" s="23">
        <f>COUNTIFS(EQUIPOS,$A34,CRITICIDAD,I$28,PROVINCIAS,'Resumen por Ubicación'!I$1)</f>
        <v>0</v>
      </c>
      <c r="J34" s="23">
        <f>COUNTIFS(EQUIPOS,$A34,CRITICIDAD,J$28,PROVINCIAS,'Resumen por Ubicación'!J$1)</f>
        <v>0</v>
      </c>
      <c r="K34" s="23">
        <f>COUNTIFS(EQUIPOS,$A34,CRITICIDAD,K$28,PROVINCIAS,'Resumen por Ubicación'!K$1)</f>
        <v>0</v>
      </c>
      <c r="L34" s="23">
        <f>COUNTIFS(EQUIPOS,$A34,CRITICIDAD,L$28,PROVINCIAS,'Resumen por Ubicación'!L$1)</f>
        <v>0</v>
      </c>
      <c r="M34" s="23">
        <f>COUNTIFS(EQUIPOS,$A34,CRITICIDAD,M$28,PROVINCIAS,'Resumen por Ubicación'!M$1)</f>
        <v>0</v>
      </c>
      <c r="N34" s="23">
        <f>COUNTIFS(EQUIPOS,$A34,CRITICIDAD,N$28,PROVINCIAS,'Resumen por Ubicación'!N$1)</f>
        <v>0</v>
      </c>
      <c r="O34" s="23">
        <f>COUNTIFS(EQUIPOS,$A34,CRITICIDAD,O$28,PROVINCIAS,'Resumen por Ubicación'!O$1)</f>
        <v>0</v>
      </c>
      <c r="P34" s="23">
        <f>COUNTIFS(EQUIPOS,$A34,CRITICIDAD,P$28,PROVINCIAS,'Resumen por Ubicación'!P$1)</f>
        <v>0</v>
      </c>
      <c r="Q34" s="23">
        <f t="shared" si="4"/>
        <v>0</v>
      </c>
      <c r="R34" s="23">
        <f t="shared" si="5"/>
        <v>0</v>
      </c>
      <c r="S34" s="23">
        <f t="shared" si="6"/>
        <v>0</v>
      </c>
      <c r="T34" s="23">
        <f t="shared" si="7"/>
        <v>0</v>
      </c>
      <c r="U34" s="23">
        <f t="shared" si="8"/>
        <v>0</v>
      </c>
      <c r="V34" s="23">
        <f t="shared" si="9"/>
        <v>0</v>
      </c>
      <c r="W34" s="23">
        <f t="shared" si="10"/>
        <v>0</v>
      </c>
      <c r="X34" s="23">
        <f t="shared" si="11"/>
        <v>0</v>
      </c>
      <c r="Y34" s="23">
        <f t="shared" si="12"/>
        <v>0</v>
      </c>
      <c r="Z34" s="23">
        <f t="shared" si="13"/>
        <v>0</v>
      </c>
      <c r="AA34" s="23">
        <f t="shared" si="14"/>
        <v>0</v>
      </c>
      <c r="AB34" s="23">
        <f t="shared" si="15"/>
        <v>0</v>
      </c>
      <c r="AC34" s="23">
        <f t="shared" si="16"/>
        <v>0</v>
      </c>
    </row>
    <row r="35" spans="1:29" x14ac:dyDescent="0.25">
      <c r="A35" s="30" t="s">
        <v>1128</v>
      </c>
      <c r="B35" s="23">
        <f>COUNTIFS(EQUIPOS,$A35,CRITICIDAD,B$28,PROVINCIAS,'Resumen por Ubicación'!B$1)</f>
        <v>0</v>
      </c>
      <c r="C35" s="23">
        <f>COUNTIFS(EQUIPOS,$A35,CRITICIDAD,C$28,PROVINCIAS,'Resumen por Ubicación'!C$1)</f>
        <v>0</v>
      </c>
      <c r="D35" s="23">
        <f>COUNTIFS(EQUIPOS,$A35,CRITICIDAD,D$28,PROVINCIAS,'Resumen por Ubicación'!D$1)</f>
        <v>1</v>
      </c>
      <c r="E35" s="23">
        <f>COUNTIFS(EQUIPOS,$A35,CRITICIDAD,E$28,PROVINCIAS,'Resumen por Ubicación'!E$1)</f>
        <v>3</v>
      </c>
      <c r="F35" s="23">
        <f>COUNTIFS(EQUIPOS,$A35,CRITICIDAD,F$28,PROVINCIAS,'Resumen por Ubicación'!F$1)</f>
        <v>0</v>
      </c>
      <c r="G35" s="23">
        <f>COUNTIFS(EQUIPOS,$A35,CRITICIDAD,G$28,PROVINCIAS,'Resumen por Ubicación'!G$1)</f>
        <v>0</v>
      </c>
      <c r="H35" s="23">
        <f>COUNTIFS(EQUIPOS,$A35,CRITICIDAD,H$28,PROVINCIAS,'Resumen por Ubicación'!H$1)</f>
        <v>0</v>
      </c>
      <c r="I35" s="23">
        <f>COUNTIFS(EQUIPOS,$A35,CRITICIDAD,I$28,PROVINCIAS,'Resumen por Ubicación'!I$1)</f>
        <v>0</v>
      </c>
      <c r="J35" s="23">
        <f>COUNTIFS(EQUIPOS,$A35,CRITICIDAD,J$28,PROVINCIAS,'Resumen por Ubicación'!J$1)</f>
        <v>0</v>
      </c>
      <c r="K35" s="23">
        <f>COUNTIFS(EQUIPOS,$A35,CRITICIDAD,K$28,PROVINCIAS,'Resumen por Ubicación'!K$1)</f>
        <v>0</v>
      </c>
      <c r="L35" s="23">
        <f>COUNTIFS(EQUIPOS,$A35,CRITICIDAD,L$28,PROVINCIAS,'Resumen por Ubicación'!L$1)</f>
        <v>0</v>
      </c>
      <c r="M35" s="23">
        <f>COUNTIFS(EQUIPOS,$A35,CRITICIDAD,M$28,PROVINCIAS,'Resumen por Ubicación'!M$1)</f>
        <v>0</v>
      </c>
      <c r="N35" s="23">
        <f>COUNTIFS(EQUIPOS,$A35,CRITICIDAD,N$28,PROVINCIAS,'Resumen por Ubicación'!N$1)</f>
        <v>0</v>
      </c>
      <c r="O35" s="23">
        <f>COUNTIFS(EQUIPOS,$A35,CRITICIDAD,O$28,PROVINCIAS,'Resumen por Ubicación'!O$1)</f>
        <v>0</v>
      </c>
      <c r="P35" s="23">
        <f>COUNTIFS(EQUIPOS,$A35,CRITICIDAD,P$28,PROVINCIAS,'Resumen por Ubicación'!P$1)</f>
        <v>0</v>
      </c>
      <c r="Q35" s="23">
        <f t="shared" si="4"/>
        <v>0</v>
      </c>
      <c r="R35" s="23">
        <f t="shared" si="5"/>
        <v>0</v>
      </c>
      <c r="S35" s="23">
        <f t="shared" si="6"/>
        <v>0</v>
      </c>
      <c r="T35" s="23">
        <f t="shared" si="7"/>
        <v>0</v>
      </c>
      <c r="U35" s="23">
        <f t="shared" si="8"/>
        <v>0</v>
      </c>
      <c r="V35" s="23">
        <f t="shared" si="9"/>
        <v>0</v>
      </c>
      <c r="W35" s="23">
        <f t="shared" si="10"/>
        <v>0</v>
      </c>
      <c r="X35" s="23">
        <f t="shared" si="11"/>
        <v>1</v>
      </c>
      <c r="Y35" s="23">
        <f t="shared" si="12"/>
        <v>3</v>
      </c>
      <c r="Z35" s="23">
        <f t="shared" si="13"/>
        <v>0</v>
      </c>
      <c r="AA35" s="23">
        <f t="shared" si="14"/>
        <v>4</v>
      </c>
      <c r="AB35" s="23">
        <f t="shared" si="15"/>
        <v>0</v>
      </c>
      <c r="AC35" s="23">
        <f t="shared" si="16"/>
        <v>0</v>
      </c>
    </row>
    <row r="36" spans="1:29" x14ac:dyDescent="0.25">
      <c r="A36" s="30" t="s">
        <v>1121</v>
      </c>
      <c r="B36" s="23">
        <f>COUNTIFS(EQUIPOS,$A36,CRITICIDAD,B$28,PROVINCIAS,'Resumen por Ubicación'!B$1)</f>
        <v>0</v>
      </c>
      <c r="C36" s="23">
        <f>COUNTIFS(EQUIPOS,$A36,CRITICIDAD,C$28,PROVINCIAS,'Resumen por Ubicación'!C$1)</f>
        <v>1</v>
      </c>
      <c r="D36" s="23">
        <f>COUNTIFS(EQUIPOS,$A36,CRITICIDAD,D$28,PROVINCIAS,'Resumen por Ubicación'!D$1)</f>
        <v>0</v>
      </c>
      <c r="E36" s="23">
        <f>COUNTIFS(EQUIPOS,$A36,CRITICIDAD,E$28,PROVINCIAS,'Resumen por Ubicación'!E$1)</f>
        <v>0</v>
      </c>
      <c r="F36" s="23">
        <f>COUNTIFS(EQUIPOS,$A36,CRITICIDAD,F$28,PROVINCIAS,'Resumen por Ubicación'!F$1)</f>
        <v>2</v>
      </c>
      <c r="G36" s="23">
        <f>COUNTIFS(EQUIPOS,$A36,CRITICIDAD,G$28,PROVINCIAS,'Resumen por Ubicación'!G$1)</f>
        <v>0</v>
      </c>
      <c r="H36" s="23">
        <f>COUNTIFS(EQUIPOS,$A36,CRITICIDAD,H$28,PROVINCIAS,'Resumen por Ubicación'!H$1)</f>
        <v>0</v>
      </c>
      <c r="I36" s="23">
        <f>COUNTIFS(EQUIPOS,$A36,CRITICIDAD,I$28,PROVINCIAS,'Resumen por Ubicación'!I$1)</f>
        <v>0</v>
      </c>
      <c r="J36" s="23">
        <f>COUNTIFS(EQUIPOS,$A36,CRITICIDAD,J$28,PROVINCIAS,'Resumen por Ubicación'!J$1)</f>
        <v>0</v>
      </c>
      <c r="K36" s="23">
        <f>COUNTIFS(EQUIPOS,$A36,CRITICIDAD,K$28,PROVINCIAS,'Resumen por Ubicación'!K$1)</f>
        <v>0</v>
      </c>
      <c r="L36" s="23">
        <f>COUNTIFS(EQUIPOS,$A36,CRITICIDAD,L$28,PROVINCIAS,'Resumen por Ubicación'!L$1)</f>
        <v>0</v>
      </c>
      <c r="M36" s="23">
        <f>COUNTIFS(EQUIPOS,$A36,CRITICIDAD,M$28,PROVINCIAS,'Resumen por Ubicación'!M$1)</f>
        <v>0</v>
      </c>
      <c r="N36" s="23">
        <f>COUNTIFS(EQUIPOS,$A36,CRITICIDAD,N$28,PROVINCIAS,'Resumen por Ubicación'!N$1)</f>
        <v>0</v>
      </c>
      <c r="O36" s="23">
        <f>COUNTIFS(EQUIPOS,$A36,CRITICIDAD,O$28,PROVINCIAS,'Resumen por Ubicación'!O$1)</f>
        <v>0</v>
      </c>
      <c r="P36" s="23">
        <f>COUNTIFS(EQUIPOS,$A36,CRITICIDAD,P$28,PROVINCIAS,'Resumen por Ubicación'!P$1)</f>
        <v>0</v>
      </c>
      <c r="Q36" s="23">
        <f t="shared" si="4"/>
        <v>0</v>
      </c>
      <c r="R36" s="23">
        <f t="shared" si="5"/>
        <v>0</v>
      </c>
      <c r="S36" s="23">
        <f t="shared" si="6"/>
        <v>0</v>
      </c>
      <c r="T36" s="23">
        <f t="shared" si="7"/>
        <v>0</v>
      </c>
      <c r="U36" s="23">
        <f t="shared" si="8"/>
        <v>1</v>
      </c>
      <c r="V36" s="23">
        <f t="shared" si="9"/>
        <v>0</v>
      </c>
      <c r="W36" s="23">
        <f t="shared" si="10"/>
        <v>1</v>
      </c>
      <c r="X36" s="23">
        <f t="shared" si="11"/>
        <v>0</v>
      </c>
      <c r="Y36" s="23">
        <f t="shared" si="12"/>
        <v>0</v>
      </c>
      <c r="Z36" s="23">
        <f t="shared" si="13"/>
        <v>3</v>
      </c>
      <c r="AA36" s="23">
        <f t="shared" si="14"/>
        <v>3</v>
      </c>
      <c r="AB36" s="23">
        <f t="shared" si="15"/>
        <v>0</v>
      </c>
      <c r="AC36" s="23">
        <f t="shared" si="16"/>
        <v>0</v>
      </c>
    </row>
    <row r="37" spans="1:29" x14ac:dyDescent="0.25">
      <c r="A37" s="30" t="s">
        <v>1131</v>
      </c>
      <c r="B37" s="23">
        <f>COUNTIFS(EQUIPOS,$A37,CRITICIDAD,B$28,PROVINCIAS,'Resumen por Ubicación'!B$1)</f>
        <v>1</v>
      </c>
      <c r="C37" s="23">
        <f>COUNTIFS(EQUIPOS,$A37,CRITICIDAD,C$28,PROVINCIAS,'Resumen por Ubicación'!C$1)</f>
        <v>2</v>
      </c>
      <c r="D37" s="23">
        <f>COUNTIFS(EQUIPOS,$A37,CRITICIDAD,D$28,PROVINCIAS,'Resumen por Ubicación'!D$1)</f>
        <v>0</v>
      </c>
      <c r="E37" s="23">
        <f>COUNTIFS(EQUIPOS,$A37,CRITICIDAD,E$28,PROVINCIAS,'Resumen por Ubicación'!E$1)</f>
        <v>0</v>
      </c>
      <c r="F37" s="23">
        <f>COUNTIFS(EQUIPOS,$A37,CRITICIDAD,F$28,PROVINCIAS,'Resumen por Ubicación'!F$1)</f>
        <v>1</v>
      </c>
      <c r="G37" s="23">
        <f>COUNTIFS(EQUIPOS,$A37,CRITICIDAD,G$28,PROVINCIAS,'Resumen por Ubicación'!G$1)</f>
        <v>0</v>
      </c>
      <c r="H37" s="23">
        <f>COUNTIFS(EQUIPOS,$A37,CRITICIDAD,H$28,PROVINCIAS,'Resumen por Ubicación'!H$1)</f>
        <v>0</v>
      </c>
      <c r="I37" s="23">
        <f>COUNTIFS(EQUIPOS,$A37,CRITICIDAD,I$28,PROVINCIAS,'Resumen por Ubicación'!I$1)</f>
        <v>0</v>
      </c>
      <c r="J37" s="23">
        <f>COUNTIFS(EQUIPOS,$A37,CRITICIDAD,J$28,PROVINCIAS,'Resumen por Ubicación'!J$1)</f>
        <v>3</v>
      </c>
      <c r="K37" s="23">
        <f>COUNTIFS(EQUIPOS,$A37,CRITICIDAD,K$28,PROVINCIAS,'Resumen por Ubicación'!K$1)</f>
        <v>2</v>
      </c>
      <c r="L37" s="23">
        <f>COUNTIFS(EQUIPOS,$A37,CRITICIDAD,L$28,PROVINCIAS,'Resumen por Ubicación'!L$1)</f>
        <v>0</v>
      </c>
      <c r="M37" s="23">
        <f>COUNTIFS(EQUIPOS,$A37,CRITICIDAD,M$28,PROVINCIAS,'Resumen por Ubicación'!M$1)</f>
        <v>0</v>
      </c>
      <c r="N37" s="23">
        <f>COUNTIFS(EQUIPOS,$A37,CRITICIDAD,N$28,PROVINCIAS,'Resumen por Ubicación'!N$1)</f>
        <v>0</v>
      </c>
      <c r="O37" s="23">
        <f>COUNTIFS(EQUIPOS,$A37,CRITICIDAD,O$28,PROVINCIAS,'Resumen por Ubicación'!O$1)</f>
        <v>0</v>
      </c>
      <c r="P37" s="23">
        <f>COUNTIFS(EQUIPOS,$A37,CRITICIDAD,P$28,PROVINCIAS,'Resumen por Ubicación'!P$1)</f>
        <v>0</v>
      </c>
      <c r="Q37" s="23">
        <f t="shared" si="4"/>
        <v>0</v>
      </c>
      <c r="R37" s="23">
        <f t="shared" si="5"/>
        <v>0</v>
      </c>
      <c r="S37" s="23">
        <f t="shared" si="6"/>
        <v>0</v>
      </c>
      <c r="T37" s="23">
        <f t="shared" si="7"/>
        <v>0</v>
      </c>
      <c r="U37" s="23">
        <f t="shared" si="8"/>
        <v>0</v>
      </c>
      <c r="V37" s="23">
        <f t="shared" si="9"/>
        <v>1</v>
      </c>
      <c r="W37" s="23">
        <f t="shared" si="10"/>
        <v>2</v>
      </c>
      <c r="X37" s="23">
        <f t="shared" si="11"/>
        <v>0</v>
      </c>
      <c r="Y37" s="23">
        <f t="shared" si="12"/>
        <v>3</v>
      </c>
      <c r="Z37" s="23">
        <f t="shared" si="13"/>
        <v>3</v>
      </c>
      <c r="AA37" s="23">
        <f t="shared" si="14"/>
        <v>1</v>
      </c>
      <c r="AB37" s="23">
        <f t="shared" si="15"/>
        <v>0</v>
      </c>
      <c r="AC37" s="23">
        <f t="shared" si="16"/>
        <v>2</v>
      </c>
    </row>
    <row r="38" spans="1:29" x14ac:dyDescent="0.25">
      <c r="A38" s="30" t="s">
        <v>1120</v>
      </c>
      <c r="B38" s="23">
        <f>COUNTIFS(EQUIPOS,$A38,CRITICIDAD,B$28,PROVINCIAS,'Resumen por Ubicación'!B$1)</f>
        <v>0</v>
      </c>
      <c r="C38" s="23">
        <f>COUNTIFS(EQUIPOS,$A38,CRITICIDAD,C$28,PROVINCIAS,'Resumen por Ubicación'!C$1)</f>
        <v>5</v>
      </c>
      <c r="D38" s="23">
        <f>COUNTIFS(EQUIPOS,$A38,CRITICIDAD,D$28,PROVINCIAS,'Resumen por Ubicación'!D$1)</f>
        <v>0</v>
      </c>
      <c r="E38" s="23">
        <f>COUNTIFS(EQUIPOS,$A38,CRITICIDAD,E$28,PROVINCIAS,'Resumen por Ubicación'!E$1)</f>
        <v>3</v>
      </c>
      <c r="F38" s="23">
        <f>COUNTIFS(EQUIPOS,$A38,CRITICIDAD,F$28,PROVINCIAS,'Resumen por Ubicación'!F$1)</f>
        <v>0</v>
      </c>
      <c r="G38" s="23">
        <f>COUNTIFS(EQUIPOS,$A38,CRITICIDAD,G$28,PROVINCIAS,'Resumen por Ubicación'!G$1)</f>
        <v>0</v>
      </c>
      <c r="H38" s="23">
        <f>COUNTIFS(EQUIPOS,$A38,CRITICIDAD,H$28,PROVINCIAS,'Resumen por Ubicación'!H$1)</f>
        <v>1</v>
      </c>
      <c r="I38" s="23">
        <f>COUNTIFS(EQUIPOS,$A38,CRITICIDAD,I$28,PROVINCIAS,'Resumen por Ubicación'!I$1)</f>
        <v>2</v>
      </c>
      <c r="J38" s="23">
        <f>COUNTIFS(EQUIPOS,$A38,CRITICIDAD,J$28,PROVINCIAS,'Resumen por Ubicación'!J$1)</f>
        <v>0</v>
      </c>
      <c r="K38" s="23">
        <f>COUNTIFS(EQUIPOS,$A38,CRITICIDAD,K$28,PROVINCIAS,'Resumen por Ubicación'!K$1)</f>
        <v>0</v>
      </c>
      <c r="L38" s="23">
        <f>COUNTIFS(EQUIPOS,$A38,CRITICIDAD,L$28,PROVINCIAS,'Resumen por Ubicación'!L$1)</f>
        <v>0</v>
      </c>
      <c r="M38" s="23">
        <f>COUNTIFS(EQUIPOS,$A38,CRITICIDAD,M$28,PROVINCIAS,'Resumen por Ubicación'!M$1)</f>
        <v>2</v>
      </c>
      <c r="N38" s="23">
        <f>COUNTIFS(EQUIPOS,$A38,CRITICIDAD,N$28,PROVINCIAS,'Resumen por Ubicación'!N$1)</f>
        <v>0</v>
      </c>
      <c r="O38" s="23">
        <f>COUNTIFS(EQUIPOS,$A38,CRITICIDAD,O$28,PROVINCIAS,'Resumen por Ubicación'!O$1)</f>
        <v>0</v>
      </c>
      <c r="P38" s="23">
        <f>COUNTIFS(EQUIPOS,$A38,CRITICIDAD,P$28,PROVINCIAS,'Resumen por Ubicación'!P$1)</f>
        <v>1</v>
      </c>
      <c r="Q38" s="23">
        <f t="shared" si="4"/>
        <v>0</v>
      </c>
      <c r="R38" s="23">
        <f t="shared" si="5"/>
        <v>1</v>
      </c>
      <c r="S38" s="23">
        <f t="shared" si="6"/>
        <v>0</v>
      </c>
      <c r="T38" s="23">
        <f t="shared" si="7"/>
        <v>1</v>
      </c>
      <c r="U38" s="23">
        <f t="shared" si="8"/>
        <v>0</v>
      </c>
      <c r="V38" s="23">
        <f t="shared" si="9"/>
        <v>0</v>
      </c>
      <c r="W38" s="23">
        <f t="shared" si="10"/>
        <v>9</v>
      </c>
      <c r="X38" s="23">
        <f t="shared" si="11"/>
        <v>2</v>
      </c>
      <c r="Y38" s="23">
        <f t="shared" si="12"/>
        <v>4</v>
      </c>
      <c r="Z38" s="23">
        <f t="shared" si="13"/>
        <v>1</v>
      </c>
      <c r="AA38" s="23">
        <f t="shared" si="14"/>
        <v>2</v>
      </c>
      <c r="AB38" s="23">
        <f t="shared" si="15"/>
        <v>2</v>
      </c>
      <c r="AC38" s="23">
        <f t="shared" si="16"/>
        <v>0</v>
      </c>
    </row>
    <row r="39" spans="1:29" x14ac:dyDescent="0.25">
      <c r="A39" s="30" t="s">
        <v>1133</v>
      </c>
      <c r="B39" s="23">
        <f>COUNTIFS(EQUIPOS,$A39,CRITICIDAD,B$28,PROVINCIAS,'Resumen por Ubicación'!B$1)</f>
        <v>0</v>
      </c>
      <c r="C39" s="23">
        <f>COUNTIFS(EQUIPOS,$A39,CRITICIDAD,C$28,PROVINCIAS,'Resumen por Ubicación'!C$1)</f>
        <v>8</v>
      </c>
      <c r="D39" s="23">
        <f>COUNTIFS(EQUIPOS,$A39,CRITICIDAD,D$28,PROVINCIAS,'Resumen por Ubicación'!D$1)</f>
        <v>4</v>
      </c>
      <c r="E39" s="23">
        <f>COUNTIFS(EQUIPOS,$A39,CRITICIDAD,E$28,PROVINCIAS,'Resumen por Ubicación'!E$1)</f>
        <v>3</v>
      </c>
      <c r="F39" s="23">
        <f>COUNTIFS(EQUIPOS,$A39,CRITICIDAD,F$28,PROVINCIAS,'Resumen por Ubicación'!F$1)</f>
        <v>0</v>
      </c>
      <c r="G39" s="23">
        <f>COUNTIFS(EQUIPOS,$A39,CRITICIDAD,G$28,PROVINCIAS,'Resumen por Ubicación'!G$1)</f>
        <v>0</v>
      </c>
      <c r="H39" s="23">
        <f>COUNTIFS(EQUIPOS,$A39,CRITICIDAD,H$28,PROVINCIAS,'Resumen por Ubicación'!H$1)</f>
        <v>8</v>
      </c>
      <c r="I39" s="23">
        <f>COUNTIFS(EQUIPOS,$A39,CRITICIDAD,I$28,PROVINCIAS,'Resumen por Ubicación'!I$1)</f>
        <v>1</v>
      </c>
      <c r="J39" s="23">
        <f>COUNTIFS(EQUIPOS,$A39,CRITICIDAD,J$28,PROVINCIAS,'Resumen por Ubicación'!J$1)</f>
        <v>3</v>
      </c>
      <c r="K39" s="23">
        <f>COUNTIFS(EQUIPOS,$A39,CRITICIDAD,K$28,PROVINCIAS,'Resumen por Ubicación'!K$1)</f>
        <v>0</v>
      </c>
      <c r="L39" s="23">
        <f>COUNTIFS(EQUIPOS,$A39,CRITICIDAD,L$28,PROVINCIAS,'Resumen por Ubicación'!L$1)</f>
        <v>0</v>
      </c>
      <c r="M39" s="23">
        <f>COUNTIFS(EQUIPOS,$A39,CRITICIDAD,M$28,PROVINCIAS,'Resumen por Ubicación'!M$1)</f>
        <v>3</v>
      </c>
      <c r="N39" s="23">
        <f>COUNTIFS(EQUIPOS,$A39,CRITICIDAD,N$28,PROVINCIAS,'Resumen por Ubicación'!N$1)</f>
        <v>0</v>
      </c>
      <c r="O39" s="23">
        <f>COUNTIFS(EQUIPOS,$A39,CRITICIDAD,O$28,PROVINCIAS,'Resumen por Ubicación'!O$1)</f>
        <v>2</v>
      </c>
      <c r="P39" s="23">
        <f>COUNTIFS(EQUIPOS,$A39,CRITICIDAD,P$28,PROVINCIAS,'Resumen por Ubicación'!P$1)</f>
        <v>0</v>
      </c>
      <c r="Q39" s="23">
        <f t="shared" si="4"/>
        <v>0</v>
      </c>
      <c r="R39" s="23">
        <f t="shared" si="5"/>
        <v>7</v>
      </c>
      <c r="S39" s="23">
        <f t="shared" si="6"/>
        <v>2</v>
      </c>
      <c r="T39" s="23">
        <f t="shared" si="7"/>
        <v>3</v>
      </c>
      <c r="U39" s="23">
        <f t="shared" si="8"/>
        <v>4</v>
      </c>
      <c r="V39" s="23">
        <f t="shared" si="9"/>
        <v>0</v>
      </c>
      <c r="W39" s="23">
        <f t="shared" si="10"/>
        <v>26</v>
      </c>
      <c r="X39" s="23">
        <f t="shared" si="11"/>
        <v>7</v>
      </c>
      <c r="Y39" s="23">
        <f t="shared" si="12"/>
        <v>11</v>
      </c>
      <c r="Z39" s="23">
        <f t="shared" si="13"/>
        <v>4</v>
      </c>
      <c r="AA39" s="23">
        <f t="shared" si="14"/>
        <v>6</v>
      </c>
      <c r="AB39" s="23">
        <f t="shared" si="15"/>
        <v>2</v>
      </c>
      <c r="AC39" s="23">
        <f t="shared" si="16"/>
        <v>1</v>
      </c>
    </row>
    <row r="40" spans="1:29" x14ac:dyDescent="0.25">
      <c r="A40" s="30" t="s">
        <v>1124</v>
      </c>
      <c r="B40" s="23">
        <f>COUNTIFS(EQUIPOS,$A40,CRITICIDAD,B$28,PROVINCIAS,'Resumen por Ubicación'!B$1)</f>
        <v>1</v>
      </c>
      <c r="C40" s="23">
        <f>COUNTIFS(EQUIPOS,$A40,CRITICIDAD,C$28,PROVINCIAS,'Resumen por Ubicación'!C$1)</f>
        <v>7</v>
      </c>
      <c r="D40" s="23">
        <f>COUNTIFS(EQUIPOS,$A40,CRITICIDAD,D$28,PROVINCIAS,'Resumen por Ubicación'!D$1)</f>
        <v>1</v>
      </c>
      <c r="E40" s="23">
        <f>COUNTIFS(EQUIPOS,$A40,CRITICIDAD,E$28,PROVINCIAS,'Resumen por Ubicación'!E$1)</f>
        <v>2</v>
      </c>
      <c r="F40" s="23">
        <f>COUNTIFS(EQUIPOS,$A40,CRITICIDAD,F$28,PROVINCIAS,'Resumen por Ubicación'!F$1)</f>
        <v>0</v>
      </c>
      <c r="G40" s="23">
        <f>COUNTIFS(EQUIPOS,$A40,CRITICIDAD,G$28,PROVINCIAS,'Resumen por Ubicación'!G$1)</f>
        <v>0</v>
      </c>
      <c r="H40" s="23">
        <f>COUNTIFS(EQUIPOS,$A40,CRITICIDAD,H$28,PROVINCIAS,'Resumen por Ubicación'!H$1)</f>
        <v>0</v>
      </c>
      <c r="I40" s="23">
        <f>COUNTIFS(EQUIPOS,$A40,CRITICIDAD,I$28,PROVINCIAS,'Resumen por Ubicación'!I$1)</f>
        <v>0</v>
      </c>
      <c r="J40" s="23">
        <f>COUNTIFS(EQUIPOS,$A40,CRITICIDAD,J$28,PROVINCIAS,'Resumen por Ubicación'!J$1)</f>
        <v>0</v>
      </c>
      <c r="K40" s="23">
        <f>COUNTIFS(EQUIPOS,$A40,CRITICIDAD,K$28,PROVINCIAS,'Resumen por Ubicación'!K$1)</f>
        <v>0</v>
      </c>
      <c r="L40" s="23">
        <f>COUNTIFS(EQUIPOS,$A40,CRITICIDAD,L$28,PROVINCIAS,'Resumen por Ubicación'!L$1)</f>
        <v>0</v>
      </c>
      <c r="M40" s="23">
        <f>COUNTIFS(EQUIPOS,$A40,CRITICIDAD,M$28,PROVINCIAS,'Resumen por Ubicación'!M$1)</f>
        <v>0</v>
      </c>
      <c r="N40" s="23">
        <f>COUNTIFS(EQUIPOS,$A40,CRITICIDAD,N$28,PROVINCIAS,'Resumen por Ubicación'!N$1)</f>
        <v>0</v>
      </c>
      <c r="O40" s="23">
        <f>COUNTIFS(EQUIPOS,$A40,CRITICIDAD,O$28,PROVINCIAS,'Resumen por Ubicación'!O$1)</f>
        <v>0</v>
      </c>
      <c r="P40" s="23">
        <f>COUNTIFS(EQUIPOS,$A40,CRITICIDAD,P$28,PROVINCIAS,'Resumen por Ubicación'!P$1)</f>
        <v>0</v>
      </c>
      <c r="Q40" s="23">
        <f t="shared" si="4"/>
        <v>0</v>
      </c>
      <c r="R40" s="23">
        <f t="shared" si="5"/>
        <v>0</v>
      </c>
      <c r="S40" s="23">
        <f t="shared" si="6"/>
        <v>0</v>
      </c>
      <c r="T40" s="23">
        <f t="shared" si="7"/>
        <v>1</v>
      </c>
      <c r="U40" s="23">
        <f t="shared" si="8"/>
        <v>0</v>
      </c>
      <c r="V40" s="23">
        <f t="shared" si="9"/>
        <v>1</v>
      </c>
      <c r="W40" s="23">
        <f t="shared" si="10"/>
        <v>7</v>
      </c>
      <c r="X40" s="23">
        <f t="shared" si="11"/>
        <v>1</v>
      </c>
      <c r="Y40" s="23">
        <f t="shared" si="12"/>
        <v>3</v>
      </c>
      <c r="Z40" s="23">
        <f t="shared" si="13"/>
        <v>0</v>
      </c>
      <c r="AA40" s="23">
        <f t="shared" si="14"/>
        <v>3</v>
      </c>
      <c r="AB40" s="23">
        <f t="shared" si="15"/>
        <v>0</v>
      </c>
      <c r="AC40" s="23">
        <f t="shared" si="16"/>
        <v>0</v>
      </c>
    </row>
    <row r="41" spans="1:29" x14ac:dyDescent="0.25">
      <c r="A41" s="30" t="s">
        <v>1135</v>
      </c>
      <c r="B41" s="23">
        <f>COUNTIFS(EQUIPOS,$A41,CRITICIDAD,B$28,PROVINCIAS,'Resumen por Ubicación'!B$1)</f>
        <v>1</v>
      </c>
      <c r="C41" s="23">
        <f>COUNTIFS(EQUIPOS,$A41,CRITICIDAD,C$28,PROVINCIAS,'Resumen por Ubicación'!C$1)</f>
        <v>5</v>
      </c>
      <c r="D41" s="23">
        <f>COUNTIFS(EQUIPOS,$A41,CRITICIDAD,D$28,PROVINCIAS,'Resumen por Ubicación'!D$1)</f>
        <v>5</v>
      </c>
      <c r="E41" s="23">
        <f>COUNTIFS(EQUIPOS,$A41,CRITICIDAD,E$28,PROVINCIAS,'Resumen por Ubicación'!E$1)</f>
        <v>3</v>
      </c>
      <c r="F41" s="23">
        <f>COUNTIFS(EQUIPOS,$A41,CRITICIDAD,F$28,PROVINCIAS,'Resumen por Ubicación'!F$1)</f>
        <v>3</v>
      </c>
      <c r="G41" s="23">
        <f>COUNTIFS(EQUIPOS,$A41,CRITICIDAD,G$28,PROVINCIAS,'Resumen por Ubicación'!G$1)</f>
        <v>2</v>
      </c>
      <c r="H41" s="23">
        <f>COUNTIFS(EQUIPOS,$A41,CRITICIDAD,H$28,PROVINCIAS,'Resumen por Ubicación'!H$1)</f>
        <v>5</v>
      </c>
      <c r="I41" s="23">
        <f>COUNTIFS(EQUIPOS,$A41,CRITICIDAD,I$28,PROVINCIAS,'Resumen por Ubicación'!I$1)</f>
        <v>3</v>
      </c>
      <c r="J41" s="23">
        <f>COUNTIFS(EQUIPOS,$A41,CRITICIDAD,J$28,PROVINCIAS,'Resumen por Ubicación'!J$1)</f>
        <v>1</v>
      </c>
      <c r="K41" s="23">
        <f>COUNTIFS(EQUIPOS,$A41,CRITICIDAD,K$28,PROVINCIAS,'Resumen por Ubicación'!K$1)</f>
        <v>0</v>
      </c>
      <c r="L41" s="23">
        <f>COUNTIFS(EQUIPOS,$A41,CRITICIDAD,L$28,PROVINCIAS,'Resumen por Ubicación'!L$1)</f>
        <v>0</v>
      </c>
      <c r="M41" s="23">
        <f>COUNTIFS(EQUIPOS,$A41,CRITICIDAD,M$28,PROVINCIAS,'Resumen por Ubicación'!M$1)</f>
        <v>1</v>
      </c>
      <c r="N41" s="23">
        <f>COUNTIFS(EQUIPOS,$A41,CRITICIDAD,N$28,PROVINCIAS,'Resumen por Ubicación'!N$1)</f>
        <v>0</v>
      </c>
      <c r="O41" s="23">
        <f>COUNTIFS(EQUIPOS,$A41,CRITICIDAD,O$28,PROVINCIAS,'Resumen por Ubicación'!O$1)</f>
        <v>0</v>
      </c>
      <c r="P41" s="23">
        <f>COUNTIFS(EQUIPOS,$A41,CRITICIDAD,P$28,PROVINCIAS,'Resumen por Ubicación'!P$1)</f>
        <v>1</v>
      </c>
      <c r="Q41" s="23">
        <f t="shared" si="4"/>
        <v>2</v>
      </c>
      <c r="R41" s="23">
        <f t="shared" si="5"/>
        <v>0</v>
      </c>
      <c r="S41" s="23">
        <f t="shared" si="6"/>
        <v>0</v>
      </c>
      <c r="T41" s="23">
        <f t="shared" si="7"/>
        <v>0</v>
      </c>
      <c r="U41" s="23">
        <f t="shared" si="8"/>
        <v>0</v>
      </c>
      <c r="V41" s="23">
        <f t="shared" si="9"/>
        <v>5</v>
      </c>
      <c r="W41" s="23">
        <f t="shared" si="10"/>
        <v>11</v>
      </c>
      <c r="X41" s="23">
        <f t="shared" si="11"/>
        <v>8</v>
      </c>
      <c r="Y41" s="23">
        <f t="shared" si="12"/>
        <v>4</v>
      </c>
      <c r="Z41" s="23">
        <f t="shared" si="13"/>
        <v>4</v>
      </c>
      <c r="AA41" s="23">
        <f t="shared" si="14"/>
        <v>9</v>
      </c>
      <c r="AB41" s="23">
        <f t="shared" si="15"/>
        <v>0</v>
      </c>
      <c r="AC41" s="23">
        <f t="shared" si="16"/>
        <v>3</v>
      </c>
    </row>
    <row r="42" spans="1:29" x14ac:dyDescent="0.25">
      <c r="A42" s="30" t="s">
        <v>1136</v>
      </c>
      <c r="B42" s="23">
        <f>COUNTIFS(EQUIPOS,$A42,CRITICIDAD,B$28,PROVINCIAS,'Resumen por Ubicación'!B$1)</f>
        <v>0</v>
      </c>
      <c r="C42" s="23">
        <f>COUNTIFS(EQUIPOS,$A42,CRITICIDAD,C$28,PROVINCIAS,'Resumen por Ubicación'!C$1)</f>
        <v>0</v>
      </c>
      <c r="D42" s="23">
        <f>COUNTIFS(EQUIPOS,$A42,CRITICIDAD,D$28,PROVINCIAS,'Resumen por Ubicación'!D$1)</f>
        <v>0</v>
      </c>
      <c r="E42" s="23">
        <f>COUNTIFS(EQUIPOS,$A42,CRITICIDAD,E$28,PROVINCIAS,'Resumen por Ubicación'!E$1)</f>
        <v>0</v>
      </c>
      <c r="F42" s="23">
        <f>COUNTIFS(EQUIPOS,$A42,CRITICIDAD,F$28,PROVINCIAS,'Resumen por Ubicación'!F$1)</f>
        <v>0</v>
      </c>
      <c r="G42" s="23">
        <f>COUNTIFS(EQUIPOS,$A42,CRITICIDAD,G$28,PROVINCIAS,'Resumen por Ubicación'!G$1)</f>
        <v>0</v>
      </c>
      <c r="H42" s="23">
        <f>COUNTIFS(EQUIPOS,$A42,CRITICIDAD,H$28,PROVINCIAS,'Resumen por Ubicación'!H$1)</f>
        <v>0</v>
      </c>
      <c r="I42" s="23">
        <f>COUNTIFS(EQUIPOS,$A42,CRITICIDAD,I$28,PROVINCIAS,'Resumen por Ubicación'!I$1)</f>
        <v>1</v>
      </c>
      <c r="J42" s="23">
        <f>COUNTIFS(EQUIPOS,$A42,CRITICIDAD,J$28,PROVINCIAS,'Resumen por Ubicación'!J$1)</f>
        <v>1</v>
      </c>
      <c r="K42" s="23">
        <f>COUNTIFS(EQUIPOS,$A42,CRITICIDAD,K$28,PROVINCIAS,'Resumen por Ubicación'!K$1)</f>
        <v>0</v>
      </c>
      <c r="L42" s="23">
        <f>COUNTIFS(EQUIPOS,$A42,CRITICIDAD,L$28,PROVINCIAS,'Resumen por Ubicación'!L$1)</f>
        <v>0</v>
      </c>
      <c r="M42" s="23">
        <f>COUNTIFS(EQUIPOS,$A42,CRITICIDAD,M$28,PROVINCIAS,'Resumen por Ubicación'!M$1)</f>
        <v>1</v>
      </c>
      <c r="N42" s="23">
        <f>COUNTIFS(EQUIPOS,$A42,CRITICIDAD,N$28,PROVINCIAS,'Resumen por Ubicación'!N$1)</f>
        <v>1</v>
      </c>
      <c r="O42" s="23">
        <f>COUNTIFS(EQUIPOS,$A42,CRITICIDAD,O$28,PROVINCIAS,'Resumen por Ubicación'!O$1)</f>
        <v>1</v>
      </c>
      <c r="P42" s="23">
        <f>COUNTIFS(EQUIPOS,$A42,CRITICIDAD,P$28,PROVINCIAS,'Resumen por Ubicación'!P$1)</f>
        <v>0</v>
      </c>
      <c r="Q42" s="23">
        <f t="shared" si="4"/>
        <v>1</v>
      </c>
      <c r="R42" s="23">
        <f t="shared" si="5"/>
        <v>0</v>
      </c>
      <c r="S42" s="23">
        <f t="shared" si="6"/>
        <v>0</v>
      </c>
      <c r="T42" s="23">
        <f t="shared" si="7"/>
        <v>0</v>
      </c>
      <c r="U42" s="23">
        <f t="shared" si="8"/>
        <v>2</v>
      </c>
      <c r="V42" s="23">
        <f t="shared" si="9"/>
        <v>1</v>
      </c>
      <c r="W42" s="23">
        <f t="shared" si="10"/>
        <v>1</v>
      </c>
      <c r="X42" s="23">
        <f t="shared" si="11"/>
        <v>2</v>
      </c>
      <c r="Y42" s="23">
        <f t="shared" si="12"/>
        <v>2</v>
      </c>
      <c r="Z42" s="23">
        <f t="shared" si="13"/>
        <v>2</v>
      </c>
      <c r="AA42" s="23">
        <f t="shared" si="14"/>
        <v>2</v>
      </c>
      <c r="AB42" s="23">
        <f t="shared" si="15"/>
        <v>0</v>
      </c>
      <c r="AC42" s="23">
        <f t="shared" si="16"/>
        <v>2</v>
      </c>
    </row>
    <row r="43" spans="1:29" x14ac:dyDescent="0.25">
      <c r="A43" s="30" t="s">
        <v>1139</v>
      </c>
      <c r="B43" s="23">
        <f>COUNTIFS(EQUIPOS,$A43,CRITICIDAD,B$28,PROVINCIAS,'Resumen por Ubicación'!B$1)</f>
        <v>0</v>
      </c>
      <c r="C43" s="23">
        <f>COUNTIFS(EQUIPOS,$A43,CRITICIDAD,C$28,PROVINCIAS,'Resumen por Ubicación'!C$1)</f>
        <v>1</v>
      </c>
      <c r="D43" s="23">
        <f>COUNTIFS(EQUIPOS,$A43,CRITICIDAD,D$28,PROVINCIAS,'Resumen por Ubicación'!D$1)</f>
        <v>0</v>
      </c>
      <c r="E43" s="23">
        <f>COUNTIFS(EQUIPOS,$A43,CRITICIDAD,E$28,PROVINCIAS,'Resumen por Ubicación'!E$1)</f>
        <v>0</v>
      </c>
      <c r="F43" s="23">
        <f>COUNTIFS(EQUIPOS,$A43,CRITICIDAD,F$28,PROVINCIAS,'Resumen por Ubicación'!F$1)</f>
        <v>1</v>
      </c>
      <c r="G43" s="23">
        <f>COUNTIFS(EQUIPOS,$A43,CRITICIDAD,G$28,PROVINCIAS,'Resumen por Ubicación'!G$1)</f>
        <v>1</v>
      </c>
      <c r="H43" s="23">
        <f>COUNTIFS(EQUIPOS,$A43,CRITICIDAD,H$28,PROVINCIAS,'Resumen por Ubicación'!H$1)</f>
        <v>3</v>
      </c>
      <c r="I43" s="23">
        <f>COUNTIFS(EQUIPOS,$A43,CRITICIDAD,I$28,PROVINCIAS,'Resumen por Ubicación'!I$1)</f>
        <v>2</v>
      </c>
      <c r="J43" s="23">
        <f>COUNTIFS(EQUIPOS,$A43,CRITICIDAD,J$28,PROVINCIAS,'Resumen por Ubicación'!J$1)</f>
        <v>4</v>
      </c>
      <c r="K43" s="23">
        <f>COUNTIFS(EQUIPOS,$A43,CRITICIDAD,K$28,PROVINCIAS,'Resumen por Ubicación'!K$1)</f>
        <v>3</v>
      </c>
      <c r="L43" s="23">
        <f>COUNTIFS(EQUIPOS,$A43,CRITICIDAD,L$28,PROVINCIAS,'Resumen por Ubicación'!L$1)</f>
        <v>0</v>
      </c>
      <c r="M43" s="23">
        <f>COUNTIFS(EQUIPOS,$A43,CRITICIDAD,M$28,PROVINCIAS,'Resumen por Ubicación'!M$1)</f>
        <v>0</v>
      </c>
      <c r="N43" s="23">
        <f>COUNTIFS(EQUIPOS,$A43,CRITICIDAD,N$28,PROVINCIAS,'Resumen por Ubicación'!N$1)</f>
        <v>0</v>
      </c>
      <c r="O43" s="23">
        <f>COUNTIFS(EQUIPOS,$A43,CRITICIDAD,O$28,PROVINCIAS,'Resumen por Ubicación'!O$1)</f>
        <v>0</v>
      </c>
      <c r="P43" s="23">
        <f>COUNTIFS(EQUIPOS,$A43,CRITICIDAD,P$28,PROVINCIAS,'Resumen por Ubicación'!P$1)</f>
        <v>2</v>
      </c>
      <c r="Q43" s="23">
        <f t="shared" si="4"/>
        <v>0</v>
      </c>
      <c r="R43" s="23">
        <f t="shared" si="5"/>
        <v>0</v>
      </c>
      <c r="S43" s="23">
        <f t="shared" si="6"/>
        <v>0</v>
      </c>
      <c r="T43" s="23">
        <f t="shared" si="7"/>
        <v>0</v>
      </c>
      <c r="U43" s="23">
        <f t="shared" si="8"/>
        <v>0</v>
      </c>
      <c r="V43" s="23">
        <f t="shared" si="9"/>
        <v>1</v>
      </c>
      <c r="W43" s="23">
        <f t="shared" si="10"/>
        <v>4</v>
      </c>
      <c r="X43" s="23">
        <f t="shared" si="11"/>
        <v>2</v>
      </c>
      <c r="Y43" s="23">
        <f t="shared" si="12"/>
        <v>4</v>
      </c>
      <c r="Z43" s="23">
        <f t="shared" si="13"/>
        <v>6</v>
      </c>
      <c r="AA43" s="23">
        <f t="shared" si="14"/>
        <v>1</v>
      </c>
      <c r="AB43" s="23">
        <f t="shared" si="15"/>
        <v>0</v>
      </c>
      <c r="AC43" s="23">
        <f t="shared" si="16"/>
        <v>0</v>
      </c>
    </row>
    <row r="44" spans="1:29" x14ac:dyDescent="0.25">
      <c r="A44" s="30" t="s">
        <v>1137</v>
      </c>
      <c r="B44" s="23">
        <f>COUNTIFS(EQUIPOS,$A44,CRITICIDAD,B$28,PROVINCIAS,'Resumen por Ubicación'!B$1)</f>
        <v>0</v>
      </c>
      <c r="C44" s="23">
        <f>COUNTIFS(EQUIPOS,$A44,CRITICIDAD,C$28,PROVINCIAS,'Resumen por Ubicación'!C$1)</f>
        <v>0</v>
      </c>
      <c r="D44" s="23">
        <f>COUNTIFS(EQUIPOS,$A44,CRITICIDAD,D$28,PROVINCIAS,'Resumen por Ubicación'!D$1)</f>
        <v>1</v>
      </c>
      <c r="E44" s="23">
        <f>COUNTIFS(EQUIPOS,$A44,CRITICIDAD,E$28,PROVINCIAS,'Resumen por Ubicación'!E$1)</f>
        <v>0</v>
      </c>
      <c r="F44" s="23">
        <f>COUNTIFS(EQUIPOS,$A44,CRITICIDAD,F$28,PROVINCIAS,'Resumen por Ubicación'!F$1)</f>
        <v>1</v>
      </c>
      <c r="G44" s="23">
        <f>COUNTIFS(EQUIPOS,$A44,CRITICIDAD,G$28,PROVINCIAS,'Resumen por Ubicación'!G$1)</f>
        <v>0</v>
      </c>
      <c r="H44" s="23">
        <f>COUNTIFS(EQUIPOS,$A44,CRITICIDAD,H$28,PROVINCIAS,'Resumen por Ubicación'!H$1)</f>
        <v>0</v>
      </c>
      <c r="I44" s="23">
        <f>COUNTIFS(EQUIPOS,$A44,CRITICIDAD,I$28,PROVINCIAS,'Resumen por Ubicación'!I$1)</f>
        <v>2</v>
      </c>
      <c r="J44" s="23">
        <f>COUNTIFS(EQUIPOS,$A44,CRITICIDAD,J$28,PROVINCIAS,'Resumen por Ubicación'!J$1)</f>
        <v>0</v>
      </c>
      <c r="K44" s="23">
        <f>COUNTIFS(EQUIPOS,$A44,CRITICIDAD,K$28,PROVINCIAS,'Resumen por Ubicación'!K$1)</f>
        <v>1</v>
      </c>
      <c r="L44" s="23">
        <f>COUNTIFS(EQUIPOS,$A44,CRITICIDAD,L$28,PROVINCIAS,'Resumen por Ubicación'!L$1)</f>
        <v>0</v>
      </c>
      <c r="M44" s="23">
        <f>COUNTIFS(EQUIPOS,$A44,CRITICIDAD,M$28,PROVINCIAS,'Resumen por Ubicación'!M$1)</f>
        <v>0</v>
      </c>
      <c r="N44" s="23">
        <f>COUNTIFS(EQUIPOS,$A44,CRITICIDAD,N$28,PROVINCIAS,'Resumen por Ubicación'!N$1)</f>
        <v>0</v>
      </c>
      <c r="O44" s="23">
        <f>COUNTIFS(EQUIPOS,$A44,CRITICIDAD,O$28,PROVINCIAS,'Resumen por Ubicación'!O$1)</f>
        <v>0</v>
      </c>
      <c r="P44" s="23">
        <f>COUNTIFS(EQUIPOS,$A44,CRITICIDAD,P$28,PROVINCIAS,'Resumen por Ubicación'!P$1)</f>
        <v>0</v>
      </c>
      <c r="Q44" s="23">
        <f t="shared" si="4"/>
        <v>0</v>
      </c>
      <c r="R44" s="23">
        <f t="shared" si="5"/>
        <v>0</v>
      </c>
      <c r="S44" s="23">
        <f t="shared" si="6"/>
        <v>0</v>
      </c>
      <c r="T44" s="23">
        <f t="shared" si="7"/>
        <v>0</v>
      </c>
      <c r="U44" s="23">
        <f t="shared" si="8"/>
        <v>0</v>
      </c>
      <c r="V44" s="23">
        <f t="shared" si="9"/>
        <v>0</v>
      </c>
      <c r="W44" s="23">
        <f t="shared" si="10"/>
        <v>0</v>
      </c>
      <c r="X44" s="23">
        <f t="shared" si="11"/>
        <v>3</v>
      </c>
      <c r="Y44" s="23">
        <f t="shared" si="12"/>
        <v>0</v>
      </c>
      <c r="Z44" s="23">
        <f t="shared" si="13"/>
        <v>2</v>
      </c>
      <c r="AA44" s="23">
        <f t="shared" si="14"/>
        <v>4</v>
      </c>
      <c r="AB44" s="23">
        <f t="shared" si="15"/>
        <v>0</v>
      </c>
      <c r="AC44" s="23">
        <f t="shared" si="16"/>
        <v>0</v>
      </c>
    </row>
    <row r="45" spans="1:29" x14ac:dyDescent="0.25">
      <c r="A45" s="30" t="s">
        <v>1130</v>
      </c>
      <c r="B45" s="23">
        <f>COUNTIFS(EQUIPOS,$A45,CRITICIDAD,B$28,PROVINCIAS,'Resumen por Ubicación'!B$1)</f>
        <v>0</v>
      </c>
      <c r="C45" s="23">
        <f>COUNTIFS(EQUIPOS,$A45,CRITICIDAD,C$28,PROVINCIAS,'Resumen por Ubicación'!C$1)</f>
        <v>8</v>
      </c>
      <c r="D45" s="23">
        <f>COUNTIFS(EQUIPOS,$A45,CRITICIDAD,D$28,PROVINCIAS,'Resumen por Ubicación'!D$1)</f>
        <v>3</v>
      </c>
      <c r="E45" s="23">
        <f>COUNTIFS(EQUIPOS,$A45,CRITICIDAD,E$28,PROVINCIAS,'Resumen por Ubicación'!E$1)</f>
        <v>2</v>
      </c>
      <c r="F45" s="23">
        <f>COUNTIFS(EQUIPOS,$A45,CRITICIDAD,F$28,PROVINCIAS,'Resumen por Ubicación'!F$1)</f>
        <v>0</v>
      </c>
      <c r="G45" s="23">
        <f>COUNTIFS(EQUIPOS,$A45,CRITICIDAD,G$28,PROVINCIAS,'Resumen por Ubicación'!G$1)</f>
        <v>0</v>
      </c>
      <c r="H45" s="23">
        <f>COUNTIFS(EQUIPOS,$A45,CRITICIDAD,H$28,PROVINCIAS,'Resumen por Ubicación'!H$1)</f>
        <v>0</v>
      </c>
      <c r="I45" s="23">
        <f>COUNTIFS(EQUIPOS,$A45,CRITICIDAD,I$28,PROVINCIAS,'Resumen por Ubicación'!I$1)</f>
        <v>0</v>
      </c>
      <c r="J45" s="23">
        <f>COUNTIFS(EQUIPOS,$A45,CRITICIDAD,J$28,PROVINCIAS,'Resumen por Ubicación'!J$1)</f>
        <v>0</v>
      </c>
      <c r="K45" s="23">
        <f>COUNTIFS(EQUIPOS,$A45,CRITICIDAD,K$28,PROVINCIAS,'Resumen por Ubicación'!K$1)</f>
        <v>0</v>
      </c>
      <c r="L45" s="23">
        <f>COUNTIFS(EQUIPOS,$A45,CRITICIDAD,L$28,PROVINCIAS,'Resumen por Ubicación'!L$1)</f>
        <v>0</v>
      </c>
      <c r="M45" s="23">
        <f>COUNTIFS(EQUIPOS,$A45,CRITICIDAD,M$28,PROVINCIAS,'Resumen por Ubicación'!M$1)</f>
        <v>0</v>
      </c>
      <c r="N45" s="23">
        <f>COUNTIFS(EQUIPOS,$A45,CRITICIDAD,N$28,PROVINCIAS,'Resumen por Ubicación'!N$1)</f>
        <v>0</v>
      </c>
      <c r="O45" s="23">
        <f>COUNTIFS(EQUIPOS,$A45,CRITICIDAD,O$28,PROVINCIAS,'Resumen por Ubicación'!O$1)</f>
        <v>0</v>
      </c>
      <c r="P45" s="23">
        <f>COUNTIFS(EQUIPOS,$A45,CRITICIDAD,P$28,PROVINCIAS,'Resumen por Ubicación'!P$1)</f>
        <v>0</v>
      </c>
      <c r="Q45" s="23">
        <f t="shared" si="4"/>
        <v>0</v>
      </c>
      <c r="R45" s="23">
        <f t="shared" si="5"/>
        <v>0</v>
      </c>
      <c r="S45" s="23">
        <f t="shared" si="6"/>
        <v>0</v>
      </c>
      <c r="T45" s="23">
        <f t="shared" si="7"/>
        <v>0</v>
      </c>
      <c r="U45" s="23">
        <f t="shared" si="8"/>
        <v>0</v>
      </c>
      <c r="V45" s="23">
        <f t="shared" si="9"/>
        <v>0</v>
      </c>
      <c r="W45" s="23">
        <f t="shared" si="10"/>
        <v>8</v>
      </c>
      <c r="X45" s="23">
        <f t="shared" si="11"/>
        <v>3</v>
      </c>
      <c r="Y45" s="23">
        <f t="shared" si="12"/>
        <v>2</v>
      </c>
      <c r="Z45" s="23">
        <f t="shared" si="13"/>
        <v>0</v>
      </c>
      <c r="AA45" s="23">
        <f t="shared" si="14"/>
        <v>5</v>
      </c>
      <c r="AB45" s="23">
        <f t="shared" si="15"/>
        <v>0</v>
      </c>
      <c r="AC45" s="23">
        <f t="shared" si="16"/>
        <v>0</v>
      </c>
    </row>
    <row r="46" spans="1:29" x14ac:dyDescent="0.25">
      <c r="A46" s="30" t="s">
        <v>1134</v>
      </c>
      <c r="B46" s="23">
        <f>COUNTIFS(EQUIPOS,$A46,CRITICIDAD,B$28,PROVINCIAS,'Resumen por Ubicación'!B$1)</f>
        <v>1</v>
      </c>
      <c r="C46" s="23">
        <f>COUNTIFS(EQUIPOS,$A46,CRITICIDAD,C$28,PROVINCIAS,'Resumen por Ubicación'!C$1)</f>
        <v>0</v>
      </c>
      <c r="D46" s="23">
        <f>COUNTIFS(EQUIPOS,$A46,CRITICIDAD,D$28,PROVINCIAS,'Resumen por Ubicación'!D$1)</f>
        <v>3</v>
      </c>
      <c r="E46" s="23">
        <f>COUNTIFS(EQUIPOS,$A46,CRITICIDAD,E$28,PROVINCIAS,'Resumen por Ubicación'!E$1)</f>
        <v>9</v>
      </c>
      <c r="F46" s="23">
        <f>COUNTIFS(EQUIPOS,$A46,CRITICIDAD,F$28,PROVINCIAS,'Resumen por Ubicación'!F$1)</f>
        <v>4</v>
      </c>
      <c r="G46" s="23">
        <f>COUNTIFS(EQUIPOS,$A46,CRITICIDAD,G$28,PROVINCIAS,'Resumen por Ubicación'!G$1)</f>
        <v>0</v>
      </c>
      <c r="H46" s="23">
        <f>COUNTIFS(EQUIPOS,$A46,CRITICIDAD,H$28,PROVINCIAS,'Resumen por Ubicación'!H$1)</f>
        <v>0</v>
      </c>
      <c r="I46" s="23">
        <f>COUNTIFS(EQUIPOS,$A46,CRITICIDAD,I$28,PROVINCIAS,'Resumen por Ubicación'!I$1)</f>
        <v>1</v>
      </c>
      <c r="J46" s="23">
        <f>COUNTIFS(EQUIPOS,$A46,CRITICIDAD,J$28,PROVINCIAS,'Resumen por Ubicación'!J$1)</f>
        <v>2</v>
      </c>
      <c r="K46" s="23">
        <f>COUNTIFS(EQUIPOS,$A46,CRITICIDAD,K$28,PROVINCIAS,'Resumen por Ubicación'!K$1)</f>
        <v>0</v>
      </c>
      <c r="L46" s="23">
        <f>COUNTIFS(EQUIPOS,$A46,CRITICIDAD,L$28,PROVINCIAS,'Resumen por Ubicación'!L$1)</f>
        <v>1</v>
      </c>
      <c r="M46" s="23">
        <f>COUNTIFS(EQUIPOS,$A46,CRITICIDAD,M$28,PROVINCIAS,'Resumen por Ubicación'!M$1)</f>
        <v>1</v>
      </c>
      <c r="N46" s="23">
        <f>COUNTIFS(EQUIPOS,$A46,CRITICIDAD,N$28,PROVINCIAS,'Resumen por Ubicación'!N$1)</f>
        <v>5</v>
      </c>
      <c r="O46" s="23">
        <f>COUNTIFS(EQUIPOS,$A46,CRITICIDAD,O$28,PROVINCIAS,'Resumen por Ubicación'!O$1)</f>
        <v>3</v>
      </c>
      <c r="P46" s="23">
        <f>COUNTIFS(EQUIPOS,$A46,CRITICIDAD,P$28,PROVINCIAS,'Resumen por Ubicación'!P$1)</f>
        <v>5</v>
      </c>
      <c r="Q46" s="23">
        <f t="shared" si="4"/>
        <v>0</v>
      </c>
      <c r="R46" s="23">
        <f t="shared" si="5"/>
        <v>1</v>
      </c>
      <c r="S46" s="23">
        <f t="shared" si="6"/>
        <v>0</v>
      </c>
      <c r="T46" s="23">
        <f t="shared" si="7"/>
        <v>1</v>
      </c>
      <c r="U46" s="23">
        <f t="shared" si="8"/>
        <v>0</v>
      </c>
      <c r="V46" s="23">
        <f t="shared" si="9"/>
        <v>2</v>
      </c>
      <c r="W46" s="23">
        <f t="shared" si="10"/>
        <v>2</v>
      </c>
      <c r="X46" s="23">
        <f t="shared" si="11"/>
        <v>9</v>
      </c>
      <c r="Y46" s="23">
        <f t="shared" si="12"/>
        <v>15</v>
      </c>
      <c r="Z46" s="23">
        <f t="shared" si="13"/>
        <v>9</v>
      </c>
      <c r="AA46" s="23">
        <f t="shared" si="14"/>
        <v>9</v>
      </c>
      <c r="AB46" s="23">
        <f t="shared" si="15"/>
        <v>0</v>
      </c>
      <c r="AC46" s="23">
        <f t="shared" si="16"/>
        <v>0</v>
      </c>
    </row>
    <row r="47" spans="1:29" x14ac:dyDescent="0.25">
      <c r="A47" s="30" t="s">
        <v>1132</v>
      </c>
      <c r="B47" s="23">
        <f>COUNTIFS(EQUIPOS,$A47,CRITICIDAD,B$28,PROVINCIAS,'Resumen por Ubicación'!B$1)</f>
        <v>1</v>
      </c>
      <c r="C47" s="23">
        <f>COUNTIFS(EQUIPOS,$A47,CRITICIDAD,C$28,PROVINCIAS,'Resumen por Ubicación'!C$1)</f>
        <v>8</v>
      </c>
      <c r="D47" s="23">
        <f>COUNTIFS(EQUIPOS,$A47,CRITICIDAD,D$28,PROVINCIAS,'Resumen por Ubicación'!D$1)</f>
        <v>1</v>
      </c>
      <c r="E47" s="23">
        <f>COUNTIFS(EQUIPOS,$A47,CRITICIDAD,E$28,PROVINCIAS,'Resumen por Ubicación'!E$1)</f>
        <v>6</v>
      </c>
      <c r="F47" s="23">
        <f>COUNTIFS(EQUIPOS,$A47,CRITICIDAD,F$28,PROVINCIAS,'Resumen por Ubicación'!F$1)</f>
        <v>3</v>
      </c>
      <c r="G47" s="23">
        <f>COUNTIFS(EQUIPOS,$A47,CRITICIDAD,G$28,PROVINCIAS,'Resumen por Ubicación'!G$1)</f>
        <v>1</v>
      </c>
      <c r="H47" s="23">
        <f>COUNTIFS(EQUIPOS,$A47,CRITICIDAD,H$28,PROVINCIAS,'Resumen por Ubicación'!H$1)</f>
        <v>1</v>
      </c>
      <c r="I47" s="23">
        <f>COUNTIFS(EQUIPOS,$A47,CRITICIDAD,I$28,PROVINCIAS,'Resumen por Ubicación'!I$1)</f>
        <v>0</v>
      </c>
      <c r="J47" s="23">
        <f>COUNTIFS(EQUIPOS,$A47,CRITICIDAD,J$28,PROVINCIAS,'Resumen por Ubicación'!J$1)</f>
        <v>0</v>
      </c>
      <c r="K47" s="23">
        <f>COUNTIFS(EQUIPOS,$A47,CRITICIDAD,K$28,PROVINCIAS,'Resumen por Ubicación'!K$1)</f>
        <v>2</v>
      </c>
      <c r="L47" s="23">
        <f>COUNTIFS(EQUIPOS,$A47,CRITICIDAD,L$28,PROVINCIAS,'Resumen por Ubicación'!L$1)</f>
        <v>0</v>
      </c>
      <c r="M47" s="23">
        <f>COUNTIFS(EQUIPOS,$A47,CRITICIDAD,M$28,PROVINCIAS,'Resumen por Ubicación'!M$1)</f>
        <v>0</v>
      </c>
      <c r="N47" s="23">
        <f>COUNTIFS(EQUIPOS,$A47,CRITICIDAD,N$28,PROVINCIAS,'Resumen por Ubicación'!N$1)</f>
        <v>0</v>
      </c>
      <c r="O47" s="23">
        <f>COUNTIFS(EQUIPOS,$A47,CRITICIDAD,O$28,PROVINCIAS,'Resumen por Ubicación'!O$1)</f>
        <v>0</v>
      </c>
      <c r="P47" s="23">
        <f>COUNTIFS(EQUIPOS,$A47,CRITICIDAD,P$28,PROVINCIAS,'Resumen por Ubicación'!P$1)</f>
        <v>0</v>
      </c>
      <c r="Q47" s="23">
        <f t="shared" si="4"/>
        <v>0</v>
      </c>
      <c r="R47" s="23">
        <f t="shared" si="5"/>
        <v>1</v>
      </c>
      <c r="S47" s="23">
        <f t="shared" si="6"/>
        <v>0</v>
      </c>
      <c r="T47" s="23">
        <f t="shared" si="7"/>
        <v>1</v>
      </c>
      <c r="U47" s="23">
        <f t="shared" si="8"/>
        <v>0</v>
      </c>
      <c r="V47" s="23">
        <f t="shared" si="9"/>
        <v>2</v>
      </c>
      <c r="W47" s="23">
        <f t="shared" si="10"/>
        <v>10</v>
      </c>
      <c r="X47" s="23">
        <f t="shared" si="11"/>
        <v>1</v>
      </c>
      <c r="Y47" s="23">
        <f t="shared" si="12"/>
        <v>7</v>
      </c>
      <c r="Z47" s="23">
        <f t="shared" si="13"/>
        <v>5</v>
      </c>
      <c r="AA47" s="23">
        <f t="shared" si="14"/>
        <v>1</v>
      </c>
      <c r="AB47" s="23">
        <f t="shared" si="15"/>
        <v>0</v>
      </c>
      <c r="AC47" s="23">
        <f t="shared" si="16"/>
        <v>0</v>
      </c>
    </row>
    <row r="48" spans="1:29" x14ac:dyDescent="0.25">
      <c r="A48" s="30" t="s">
        <v>1129</v>
      </c>
      <c r="B48" s="23">
        <f>COUNTIFS(EQUIPOS,$A48,CRITICIDAD,B$28,PROVINCIAS,'Resumen por Ubicación'!B$1)</f>
        <v>11</v>
      </c>
      <c r="C48" s="23">
        <f>COUNTIFS(EQUIPOS,$A48,CRITICIDAD,C$28,PROVINCIAS,'Resumen por Ubicación'!C$1)</f>
        <v>5</v>
      </c>
      <c r="D48" s="23">
        <f>COUNTIFS(EQUIPOS,$A48,CRITICIDAD,D$28,PROVINCIAS,'Resumen por Ubicación'!D$1)</f>
        <v>1</v>
      </c>
      <c r="E48" s="23">
        <f>COUNTIFS(EQUIPOS,$A48,CRITICIDAD,E$28,PROVINCIAS,'Resumen por Ubicación'!E$1)</f>
        <v>0</v>
      </c>
      <c r="F48" s="23">
        <f>COUNTIFS(EQUIPOS,$A48,CRITICIDAD,F$28,PROVINCIAS,'Resumen por Ubicación'!F$1)</f>
        <v>1</v>
      </c>
      <c r="G48" s="23">
        <f>COUNTIFS(EQUIPOS,$A48,CRITICIDAD,G$28,PROVINCIAS,'Resumen por Ubicación'!G$1)</f>
        <v>2</v>
      </c>
      <c r="H48" s="23">
        <f>COUNTIFS(EQUIPOS,$A48,CRITICIDAD,H$28,PROVINCIAS,'Resumen por Ubicación'!H$1)</f>
        <v>1</v>
      </c>
      <c r="I48" s="23">
        <f>COUNTIFS(EQUIPOS,$A48,CRITICIDAD,I$28,PROVINCIAS,'Resumen por Ubicación'!I$1)</f>
        <v>0</v>
      </c>
      <c r="J48" s="23">
        <f>COUNTIFS(EQUIPOS,$A48,CRITICIDAD,J$28,PROVINCIAS,'Resumen por Ubicación'!J$1)</f>
        <v>0</v>
      </c>
      <c r="K48" s="23">
        <f>COUNTIFS(EQUIPOS,$A48,CRITICIDAD,K$28,PROVINCIAS,'Resumen por Ubicación'!K$1)</f>
        <v>0</v>
      </c>
      <c r="L48" s="23">
        <f>COUNTIFS(EQUIPOS,$A48,CRITICIDAD,L$28,PROVINCIAS,'Resumen por Ubicación'!L$1)</f>
        <v>0</v>
      </c>
      <c r="M48" s="23">
        <f>COUNTIFS(EQUIPOS,$A48,CRITICIDAD,M$28,PROVINCIAS,'Resumen por Ubicación'!M$1)</f>
        <v>0</v>
      </c>
      <c r="N48" s="23">
        <f>COUNTIFS(EQUIPOS,$A48,CRITICIDAD,N$28,PROVINCIAS,'Resumen por Ubicación'!N$1)</f>
        <v>0</v>
      </c>
      <c r="O48" s="23">
        <f>COUNTIFS(EQUIPOS,$A48,CRITICIDAD,O$28,PROVINCIAS,'Resumen por Ubicación'!O$1)</f>
        <v>0</v>
      </c>
      <c r="P48" s="23">
        <f>COUNTIFS(EQUIPOS,$A48,CRITICIDAD,P$28,PROVINCIAS,'Resumen por Ubicación'!P$1)</f>
        <v>0</v>
      </c>
      <c r="Q48" s="23">
        <f t="shared" si="4"/>
        <v>0</v>
      </c>
      <c r="R48" s="23">
        <f t="shared" si="5"/>
        <v>0</v>
      </c>
      <c r="S48" s="23">
        <f t="shared" si="6"/>
        <v>0</v>
      </c>
      <c r="T48" s="23">
        <f t="shared" si="7"/>
        <v>0</v>
      </c>
      <c r="U48" s="23">
        <f t="shared" si="8"/>
        <v>0</v>
      </c>
      <c r="V48" s="23">
        <f t="shared" si="9"/>
        <v>13</v>
      </c>
      <c r="W48" s="23">
        <f t="shared" si="10"/>
        <v>6</v>
      </c>
      <c r="X48" s="23">
        <f t="shared" si="11"/>
        <v>1</v>
      </c>
      <c r="Y48" s="23">
        <f t="shared" si="12"/>
        <v>0</v>
      </c>
      <c r="Z48" s="23">
        <f t="shared" si="13"/>
        <v>1</v>
      </c>
      <c r="AA48" s="23">
        <f t="shared" si="14"/>
        <v>5</v>
      </c>
      <c r="AB48" s="23">
        <f t="shared" si="15"/>
        <v>0</v>
      </c>
      <c r="AC48" s="23">
        <f t="shared" si="16"/>
        <v>7</v>
      </c>
    </row>
    <row r="49" spans="1:29" x14ac:dyDescent="0.25">
      <c r="A49" s="21" t="s">
        <v>150</v>
      </c>
      <c r="B49" s="22">
        <f t="shared" ref="B49:AC49" si="17">SUM(B29:B48)</f>
        <v>17</v>
      </c>
      <c r="C49" s="22">
        <f t="shared" si="17"/>
        <v>51</v>
      </c>
      <c r="D49" s="22">
        <f t="shared" si="17"/>
        <v>22</v>
      </c>
      <c r="E49" s="22">
        <f t="shared" si="17"/>
        <v>38</v>
      </c>
      <c r="F49" s="22">
        <f t="shared" si="17"/>
        <v>17</v>
      </c>
      <c r="G49" s="22">
        <f t="shared" si="17"/>
        <v>7</v>
      </c>
      <c r="H49" s="22">
        <f t="shared" si="17"/>
        <v>25</v>
      </c>
      <c r="I49" s="22">
        <f t="shared" si="17"/>
        <v>15</v>
      </c>
      <c r="J49" s="22">
        <f t="shared" si="17"/>
        <v>16</v>
      </c>
      <c r="K49" s="22">
        <f t="shared" si="17"/>
        <v>11</v>
      </c>
      <c r="L49" s="22">
        <f t="shared" si="17"/>
        <v>1</v>
      </c>
      <c r="M49" s="22">
        <f t="shared" si="17"/>
        <v>10</v>
      </c>
      <c r="N49" s="22">
        <f t="shared" si="17"/>
        <v>10</v>
      </c>
      <c r="O49" s="22">
        <f t="shared" si="17"/>
        <v>8</v>
      </c>
      <c r="P49" s="22">
        <f t="shared" si="17"/>
        <v>11</v>
      </c>
      <c r="Q49" s="22">
        <f t="shared" si="17"/>
        <v>4</v>
      </c>
      <c r="R49" s="22">
        <f t="shared" si="17"/>
        <v>10</v>
      </c>
      <c r="S49" s="22">
        <f t="shared" si="17"/>
        <v>2</v>
      </c>
      <c r="T49" s="22">
        <f t="shared" si="17"/>
        <v>7</v>
      </c>
      <c r="U49" s="22">
        <f t="shared" si="17"/>
        <v>7</v>
      </c>
      <c r="V49" s="22">
        <f t="shared" si="17"/>
        <v>29</v>
      </c>
      <c r="W49" s="22">
        <f t="shared" si="17"/>
        <v>96</v>
      </c>
      <c r="X49" s="22">
        <f t="shared" si="17"/>
        <v>49</v>
      </c>
      <c r="Y49" s="22">
        <f t="shared" si="17"/>
        <v>69</v>
      </c>
      <c r="Z49" s="22">
        <f t="shared" si="17"/>
        <v>46</v>
      </c>
      <c r="AA49" s="22">
        <f t="shared" si="17"/>
        <v>70</v>
      </c>
      <c r="AB49" s="22">
        <f t="shared" si="17"/>
        <v>6</v>
      </c>
      <c r="AC49" s="22">
        <f t="shared" si="17"/>
        <v>17</v>
      </c>
    </row>
    <row r="50" spans="1:29" x14ac:dyDescent="0.25">
      <c r="A50" s="58" t="s">
        <v>151</v>
      </c>
      <c r="B50" s="132" t="e">
        <f>COUNTIFS(#REF!,B27)</f>
        <v>#REF!</v>
      </c>
      <c r="C50" s="132"/>
      <c r="D50" s="132"/>
      <c r="E50" s="132"/>
      <c r="F50" s="132"/>
      <c r="G50" s="132" t="e">
        <f>COUNTIFS(#REF!,G27)</f>
        <v>#REF!</v>
      </c>
      <c r="H50" s="132"/>
      <c r="I50" s="132"/>
      <c r="J50" s="132"/>
      <c r="K50" s="132"/>
      <c r="L50" s="132" t="e">
        <f>COUNTIFS(#REF!,L27)</f>
        <v>#REF!</v>
      </c>
      <c r="M50" s="132"/>
      <c r="N50" s="132"/>
      <c r="O50" s="132"/>
      <c r="P50" s="132"/>
      <c r="Q50" s="132" t="e">
        <f>V50-B50-G50-L50</f>
        <v>#REF!</v>
      </c>
      <c r="R50" s="132"/>
      <c r="S50" s="132"/>
      <c r="T50" s="132"/>
      <c r="U50" s="132"/>
      <c r="V50" s="132" t="e">
        <f>#REF!</f>
        <v>#REF!</v>
      </c>
      <c r="W50" s="132"/>
      <c r="X50" s="132"/>
      <c r="Y50" s="132"/>
      <c r="Z50" s="132"/>
    </row>
  </sheetData>
  <mergeCells count="24">
    <mergeCell ref="AA27:AC27"/>
    <mergeCell ref="B50:F50"/>
    <mergeCell ref="G50:K50"/>
    <mergeCell ref="L50:P50"/>
    <mergeCell ref="Q50:U50"/>
    <mergeCell ref="V50:Z50"/>
    <mergeCell ref="V27:Z27"/>
    <mergeCell ref="A27:A28"/>
    <mergeCell ref="B27:F27"/>
    <mergeCell ref="G27:K27"/>
    <mergeCell ref="L27:P27"/>
    <mergeCell ref="Q27:U27"/>
    <mergeCell ref="A2:A3"/>
    <mergeCell ref="B2:F2"/>
    <mergeCell ref="G2:K2"/>
    <mergeCell ref="L2:P2"/>
    <mergeCell ref="Q2:U2"/>
    <mergeCell ref="B25:F25"/>
    <mergeCell ref="AA2:AC2"/>
    <mergeCell ref="V2:Z2"/>
    <mergeCell ref="G25:K25"/>
    <mergeCell ref="L25:P25"/>
    <mergeCell ref="Q25:U25"/>
    <mergeCell ref="V25:Z25"/>
  </mergeCells>
  <conditionalFormatting sqref="B3:F3">
    <cfRule type="cellIs" dxfId="169" priority="160" operator="equal">
      <formula>"No Crítico"</formula>
    </cfRule>
    <cfRule type="cellIs" dxfId="168" priority="166" operator="equal">
      <formula>"2 semanas"</formula>
    </cfRule>
    <cfRule type="cellIs" dxfId="167" priority="167" operator="equal">
      <formula>"1 semana"</formula>
    </cfRule>
    <cfRule type="cellIs" dxfId="166" priority="168" operator="equal">
      <formula>"48 horas"</formula>
    </cfRule>
    <cfRule type="cellIs" dxfId="165" priority="169" operator="equal">
      <formula>"24 horas"</formula>
    </cfRule>
    <cfRule type="cellIs" dxfId="164" priority="170" operator="equal">
      <formula>"4 horas"</formula>
    </cfRule>
  </conditionalFormatting>
  <conditionalFormatting sqref="B3:F3">
    <cfRule type="cellIs" dxfId="163" priority="161" operator="equal">
      <formula>"2 semanas"</formula>
    </cfRule>
    <cfRule type="cellIs" dxfId="162" priority="162" operator="equal">
      <formula>"1 semana"</formula>
    </cfRule>
    <cfRule type="cellIs" dxfId="161" priority="163" operator="equal">
      <formula>"48 horas"</formula>
    </cfRule>
    <cfRule type="cellIs" dxfId="160" priority="164" operator="equal">
      <formula>"24 horas"</formula>
    </cfRule>
    <cfRule type="cellIs" dxfId="159" priority="165" operator="equal">
      <formula>"4 horas"</formula>
    </cfRule>
  </conditionalFormatting>
  <conditionalFormatting sqref="B3:F3">
    <cfRule type="cellIs" dxfId="158" priority="154" operator="equal">
      <formula>"No Crítico"</formula>
    </cfRule>
    <cfRule type="cellIs" dxfId="157" priority="155" operator="equal">
      <formula>"2s"</formula>
    </cfRule>
    <cfRule type="cellIs" dxfId="156" priority="156" operator="equal">
      <formula>"1s"</formula>
    </cfRule>
    <cfRule type="cellIs" dxfId="155" priority="157" operator="equal">
      <formula>"48h"</formula>
    </cfRule>
    <cfRule type="cellIs" dxfId="154" priority="158" operator="equal">
      <formula>"24h"</formula>
    </cfRule>
    <cfRule type="cellIs" dxfId="153" priority="159" operator="equal">
      <formula>"4h"</formula>
    </cfRule>
  </conditionalFormatting>
  <conditionalFormatting sqref="G3:K3">
    <cfRule type="cellIs" dxfId="152" priority="143" operator="equal">
      <formula>"No Crítico"</formula>
    </cfRule>
    <cfRule type="cellIs" dxfId="151" priority="149" operator="equal">
      <formula>"2 semanas"</formula>
    </cfRule>
    <cfRule type="cellIs" dxfId="150" priority="150" operator="equal">
      <formula>"1 semana"</formula>
    </cfRule>
    <cfRule type="cellIs" dxfId="149" priority="151" operator="equal">
      <formula>"48 horas"</formula>
    </cfRule>
    <cfRule type="cellIs" dxfId="148" priority="152" operator="equal">
      <formula>"24 horas"</formula>
    </cfRule>
    <cfRule type="cellIs" dxfId="147" priority="153" operator="equal">
      <formula>"4 horas"</formula>
    </cfRule>
  </conditionalFormatting>
  <conditionalFormatting sqref="G3:K3">
    <cfRule type="cellIs" dxfId="146" priority="144" operator="equal">
      <formula>"2 semanas"</formula>
    </cfRule>
    <cfRule type="cellIs" dxfId="145" priority="145" operator="equal">
      <formula>"1 semana"</formula>
    </cfRule>
    <cfRule type="cellIs" dxfId="144" priority="146" operator="equal">
      <formula>"48 horas"</formula>
    </cfRule>
    <cfRule type="cellIs" dxfId="143" priority="147" operator="equal">
      <formula>"24 horas"</formula>
    </cfRule>
    <cfRule type="cellIs" dxfId="142" priority="148" operator="equal">
      <formula>"4 horas"</formula>
    </cfRule>
  </conditionalFormatting>
  <conditionalFormatting sqref="G3:K3">
    <cfRule type="cellIs" dxfId="141" priority="137" operator="equal">
      <formula>"No Crítico"</formula>
    </cfRule>
    <cfRule type="cellIs" dxfId="140" priority="138" operator="equal">
      <formula>"2s"</formula>
    </cfRule>
    <cfRule type="cellIs" dxfId="139" priority="139" operator="equal">
      <formula>"1s"</formula>
    </cfRule>
    <cfRule type="cellIs" dxfId="138" priority="140" operator="equal">
      <formula>"48h"</formula>
    </cfRule>
    <cfRule type="cellIs" dxfId="137" priority="141" operator="equal">
      <formula>"24h"</formula>
    </cfRule>
    <cfRule type="cellIs" dxfId="136" priority="142" operator="equal">
      <formula>"4h"</formula>
    </cfRule>
  </conditionalFormatting>
  <conditionalFormatting sqref="L3:P3">
    <cfRule type="cellIs" dxfId="135" priority="126" operator="equal">
      <formula>"No Crítico"</formula>
    </cfRule>
    <cfRule type="cellIs" dxfId="134" priority="132" operator="equal">
      <formula>"2 semanas"</formula>
    </cfRule>
    <cfRule type="cellIs" dxfId="133" priority="133" operator="equal">
      <formula>"1 semana"</formula>
    </cfRule>
    <cfRule type="cellIs" dxfId="132" priority="134" operator="equal">
      <formula>"48 horas"</formula>
    </cfRule>
    <cfRule type="cellIs" dxfId="131" priority="135" operator="equal">
      <formula>"24 horas"</formula>
    </cfRule>
    <cfRule type="cellIs" dxfId="130" priority="136" operator="equal">
      <formula>"4 horas"</formula>
    </cfRule>
  </conditionalFormatting>
  <conditionalFormatting sqref="L3:P3">
    <cfRule type="cellIs" dxfId="129" priority="127" operator="equal">
      <formula>"2 semanas"</formula>
    </cfRule>
    <cfRule type="cellIs" dxfId="128" priority="128" operator="equal">
      <formula>"1 semana"</formula>
    </cfRule>
    <cfRule type="cellIs" dxfId="127" priority="129" operator="equal">
      <formula>"48 horas"</formula>
    </cfRule>
    <cfRule type="cellIs" dxfId="126" priority="130" operator="equal">
      <formula>"24 horas"</formula>
    </cfRule>
    <cfRule type="cellIs" dxfId="125" priority="131" operator="equal">
      <formula>"4 horas"</formula>
    </cfRule>
  </conditionalFormatting>
  <conditionalFormatting sqref="L3:P3">
    <cfRule type="cellIs" dxfId="124" priority="120" operator="equal">
      <formula>"No Crítico"</formula>
    </cfRule>
    <cfRule type="cellIs" dxfId="123" priority="121" operator="equal">
      <formula>"2s"</formula>
    </cfRule>
    <cfRule type="cellIs" dxfId="122" priority="122" operator="equal">
      <formula>"1s"</formula>
    </cfRule>
    <cfRule type="cellIs" dxfId="121" priority="123" operator="equal">
      <formula>"48h"</formula>
    </cfRule>
    <cfRule type="cellIs" dxfId="120" priority="124" operator="equal">
      <formula>"24h"</formula>
    </cfRule>
    <cfRule type="cellIs" dxfId="119" priority="125" operator="equal">
      <formula>"4h"</formula>
    </cfRule>
  </conditionalFormatting>
  <conditionalFormatting sqref="Q3:U3">
    <cfRule type="cellIs" dxfId="118" priority="109" operator="equal">
      <formula>"No Crítico"</formula>
    </cfRule>
    <cfRule type="cellIs" dxfId="117" priority="115" operator="equal">
      <formula>"2 semanas"</formula>
    </cfRule>
    <cfRule type="cellIs" dxfId="116" priority="116" operator="equal">
      <formula>"1 semana"</formula>
    </cfRule>
    <cfRule type="cellIs" dxfId="115" priority="117" operator="equal">
      <formula>"48 horas"</formula>
    </cfRule>
    <cfRule type="cellIs" dxfId="114" priority="118" operator="equal">
      <formula>"24 horas"</formula>
    </cfRule>
    <cfRule type="cellIs" dxfId="113" priority="119" operator="equal">
      <formula>"4 horas"</formula>
    </cfRule>
  </conditionalFormatting>
  <conditionalFormatting sqref="Q3:U3">
    <cfRule type="cellIs" dxfId="112" priority="110" operator="equal">
      <formula>"2 semanas"</formula>
    </cfRule>
    <cfRule type="cellIs" dxfId="111" priority="111" operator="equal">
      <formula>"1 semana"</formula>
    </cfRule>
    <cfRule type="cellIs" dxfId="110" priority="112" operator="equal">
      <formula>"48 horas"</formula>
    </cfRule>
    <cfRule type="cellIs" dxfId="109" priority="113" operator="equal">
      <formula>"24 horas"</formula>
    </cfRule>
    <cfRule type="cellIs" dxfId="108" priority="114" operator="equal">
      <formula>"4 horas"</formula>
    </cfRule>
  </conditionalFormatting>
  <conditionalFormatting sqref="Q3:U3">
    <cfRule type="cellIs" dxfId="107" priority="103" operator="equal">
      <formula>"No Crítico"</formula>
    </cfRule>
    <cfRule type="cellIs" dxfId="106" priority="104" operator="equal">
      <formula>"2s"</formula>
    </cfRule>
    <cfRule type="cellIs" dxfId="105" priority="105" operator="equal">
      <formula>"1s"</formula>
    </cfRule>
    <cfRule type="cellIs" dxfId="104" priority="106" operator="equal">
      <formula>"48h"</formula>
    </cfRule>
    <cfRule type="cellIs" dxfId="103" priority="107" operator="equal">
      <formula>"24h"</formula>
    </cfRule>
    <cfRule type="cellIs" dxfId="102" priority="108" operator="equal">
      <formula>"4h"</formula>
    </cfRule>
  </conditionalFormatting>
  <conditionalFormatting sqref="V3:Z3">
    <cfRule type="cellIs" dxfId="101" priority="92" operator="equal">
      <formula>"No Crítico"</formula>
    </cfRule>
    <cfRule type="cellIs" dxfId="100" priority="98" operator="equal">
      <formula>"2 semanas"</formula>
    </cfRule>
    <cfRule type="cellIs" dxfId="99" priority="99" operator="equal">
      <formula>"1 semana"</formula>
    </cfRule>
    <cfRule type="cellIs" dxfId="98" priority="100" operator="equal">
      <formula>"48 horas"</formula>
    </cfRule>
    <cfRule type="cellIs" dxfId="97" priority="101" operator="equal">
      <formula>"24 horas"</formula>
    </cfRule>
    <cfRule type="cellIs" dxfId="96" priority="102" operator="equal">
      <formula>"4 horas"</formula>
    </cfRule>
  </conditionalFormatting>
  <conditionalFormatting sqref="V3:Z3">
    <cfRule type="cellIs" dxfId="95" priority="93" operator="equal">
      <formula>"2 semanas"</formula>
    </cfRule>
    <cfRule type="cellIs" dxfId="94" priority="94" operator="equal">
      <formula>"1 semana"</formula>
    </cfRule>
    <cfRule type="cellIs" dxfId="93" priority="95" operator="equal">
      <formula>"48 horas"</formula>
    </cfRule>
    <cfRule type="cellIs" dxfId="92" priority="96" operator="equal">
      <formula>"24 horas"</formula>
    </cfRule>
    <cfRule type="cellIs" dxfId="91" priority="97" operator="equal">
      <formula>"4 horas"</formula>
    </cfRule>
  </conditionalFormatting>
  <conditionalFormatting sqref="V3:Z3">
    <cfRule type="cellIs" dxfId="90" priority="86" operator="equal">
      <formula>"No Crítico"</formula>
    </cfRule>
    <cfRule type="cellIs" dxfId="89" priority="87" operator="equal">
      <formula>"2s"</formula>
    </cfRule>
    <cfRule type="cellIs" dxfId="88" priority="88" operator="equal">
      <formula>"1s"</formula>
    </cfRule>
    <cfRule type="cellIs" dxfId="87" priority="89" operator="equal">
      <formula>"48h"</formula>
    </cfRule>
    <cfRule type="cellIs" dxfId="86" priority="90" operator="equal">
      <formula>"24h"</formula>
    </cfRule>
    <cfRule type="cellIs" dxfId="85" priority="91" operator="equal">
      <formula>"4h"</formula>
    </cfRule>
  </conditionalFormatting>
  <conditionalFormatting sqref="B28:F28">
    <cfRule type="cellIs" dxfId="84" priority="75" operator="equal">
      <formula>"No Crítico"</formula>
    </cfRule>
    <cfRule type="cellIs" dxfId="83" priority="81" operator="equal">
      <formula>"2 semanas"</formula>
    </cfRule>
    <cfRule type="cellIs" dxfId="82" priority="82" operator="equal">
      <formula>"1 semana"</formula>
    </cfRule>
    <cfRule type="cellIs" dxfId="81" priority="83" operator="equal">
      <formula>"48 horas"</formula>
    </cfRule>
    <cfRule type="cellIs" dxfId="80" priority="84" operator="equal">
      <formula>"24 horas"</formula>
    </cfRule>
    <cfRule type="cellIs" dxfId="79" priority="85" operator="equal">
      <formula>"4 horas"</formula>
    </cfRule>
  </conditionalFormatting>
  <conditionalFormatting sqref="B28:F28">
    <cfRule type="cellIs" dxfId="78" priority="76" operator="equal">
      <formula>"2 semanas"</formula>
    </cfRule>
    <cfRule type="cellIs" dxfId="77" priority="77" operator="equal">
      <formula>"1 semana"</formula>
    </cfRule>
    <cfRule type="cellIs" dxfId="76" priority="78" operator="equal">
      <formula>"48 horas"</formula>
    </cfRule>
    <cfRule type="cellIs" dxfId="75" priority="79" operator="equal">
      <formula>"24 horas"</formula>
    </cfRule>
    <cfRule type="cellIs" dxfId="74" priority="80" operator="equal">
      <formula>"4 horas"</formula>
    </cfRule>
  </conditionalFormatting>
  <conditionalFormatting sqref="B28:F28">
    <cfRule type="cellIs" dxfId="73" priority="69" operator="equal">
      <formula>"No Crítico"</formula>
    </cfRule>
    <cfRule type="cellIs" dxfId="72" priority="70" operator="equal">
      <formula>"2s"</formula>
    </cfRule>
    <cfRule type="cellIs" dxfId="71" priority="71" operator="equal">
      <formula>"1s"</formula>
    </cfRule>
    <cfRule type="cellIs" dxfId="70" priority="72" operator="equal">
      <formula>"48h"</formula>
    </cfRule>
    <cfRule type="cellIs" dxfId="69" priority="73" operator="equal">
      <formula>"24h"</formula>
    </cfRule>
    <cfRule type="cellIs" dxfId="68" priority="74" operator="equal">
      <formula>"4h"</formula>
    </cfRule>
  </conditionalFormatting>
  <conditionalFormatting sqref="G28:K28">
    <cfRule type="cellIs" dxfId="67" priority="58" operator="equal">
      <formula>"No Crítico"</formula>
    </cfRule>
    <cfRule type="cellIs" dxfId="66" priority="64" operator="equal">
      <formula>"2 semanas"</formula>
    </cfRule>
    <cfRule type="cellIs" dxfId="65" priority="65" operator="equal">
      <formula>"1 semana"</formula>
    </cfRule>
    <cfRule type="cellIs" dxfId="64" priority="66" operator="equal">
      <formula>"48 horas"</formula>
    </cfRule>
    <cfRule type="cellIs" dxfId="63" priority="67" operator="equal">
      <formula>"24 horas"</formula>
    </cfRule>
    <cfRule type="cellIs" dxfId="62" priority="68" operator="equal">
      <formula>"4 horas"</formula>
    </cfRule>
  </conditionalFormatting>
  <conditionalFormatting sqref="G28:K28">
    <cfRule type="cellIs" dxfId="61" priority="59" operator="equal">
      <formula>"2 semanas"</formula>
    </cfRule>
    <cfRule type="cellIs" dxfId="60" priority="60" operator="equal">
      <formula>"1 semana"</formula>
    </cfRule>
    <cfRule type="cellIs" dxfId="59" priority="61" operator="equal">
      <formula>"48 horas"</formula>
    </cfRule>
    <cfRule type="cellIs" dxfId="58" priority="62" operator="equal">
      <formula>"24 horas"</formula>
    </cfRule>
    <cfRule type="cellIs" dxfId="57" priority="63" operator="equal">
      <formula>"4 horas"</formula>
    </cfRule>
  </conditionalFormatting>
  <conditionalFormatting sqref="G28:K28">
    <cfRule type="cellIs" dxfId="56" priority="52" operator="equal">
      <formula>"No Crítico"</formula>
    </cfRule>
    <cfRule type="cellIs" dxfId="55" priority="53" operator="equal">
      <formula>"2s"</formula>
    </cfRule>
    <cfRule type="cellIs" dxfId="54" priority="54" operator="equal">
      <formula>"1s"</formula>
    </cfRule>
    <cfRule type="cellIs" dxfId="53" priority="55" operator="equal">
      <formula>"48h"</formula>
    </cfRule>
    <cfRule type="cellIs" dxfId="52" priority="56" operator="equal">
      <formula>"24h"</formula>
    </cfRule>
    <cfRule type="cellIs" dxfId="51" priority="57" operator="equal">
      <formula>"4h"</formula>
    </cfRule>
  </conditionalFormatting>
  <conditionalFormatting sqref="L28:P28">
    <cfRule type="cellIs" dxfId="50" priority="41" operator="equal">
      <formula>"No Crítico"</formula>
    </cfRule>
    <cfRule type="cellIs" dxfId="49" priority="47" operator="equal">
      <formula>"2 semanas"</formula>
    </cfRule>
    <cfRule type="cellIs" dxfId="48" priority="48" operator="equal">
      <formula>"1 semana"</formula>
    </cfRule>
    <cfRule type="cellIs" dxfId="47" priority="49" operator="equal">
      <formula>"48 horas"</formula>
    </cfRule>
    <cfRule type="cellIs" dxfId="46" priority="50" operator="equal">
      <formula>"24 horas"</formula>
    </cfRule>
    <cfRule type="cellIs" dxfId="45" priority="51" operator="equal">
      <formula>"4 horas"</formula>
    </cfRule>
  </conditionalFormatting>
  <conditionalFormatting sqref="L28:P28">
    <cfRule type="cellIs" dxfId="44" priority="42" operator="equal">
      <formula>"2 semanas"</formula>
    </cfRule>
    <cfRule type="cellIs" dxfId="43" priority="43" operator="equal">
      <formula>"1 semana"</formula>
    </cfRule>
    <cfRule type="cellIs" dxfId="42" priority="44" operator="equal">
      <formula>"48 horas"</formula>
    </cfRule>
    <cfRule type="cellIs" dxfId="41" priority="45" operator="equal">
      <formula>"24 horas"</formula>
    </cfRule>
    <cfRule type="cellIs" dxfId="40" priority="46" operator="equal">
      <formula>"4 horas"</formula>
    </cfRule>
  </conditionalFormatting>
  <conditionalFormatting sqref="L28:P28">
    <cfRule type="cellIs" dxfId="39" priority="35" operator="equal">
      <formula>"No Crítico"</formula>
    </cfRule>
    <cfRule type="cellIs" dxfId="38" priority="36" operator="equal">
      <formula>"2s"</formula>
    </cfRule>
    <cfRule type="cellIs" dxfId="37" priority="37" operator="equal">
      <formula>"1s"</formula>
    </cfRule>
    <cfRule type="cellIs" dxfId="36" priority="38" operator="equal">
      <formula>"48h"</formula>
    </cfRule>
    <cfRule type="cellIs" dxfId="35" priority="39" operator="equal">
      <formula>"24h"</formula>
    </cfRule>
    <cfRule type="cellIs" dxfId="34" priority="40" operator="equal">
      <formula>"4h"</formula>
    </cfRule>
  </conditionalFormatting>
  <conditionalFormatting sqref="Q28:U28">
    <cfRule type="cellIs" dxfId="33" priority="24" operator="equal">
      <formula>"No Crítico"</formula>
    </cfRule>
    <cfRule type="cellIs" dxfId="32" priority="30" operator="equal">
      <formula>"2 semanas"</formula>
    </cfRule>
    <cfRule type="cellIs" dxfId="31" priority="31" operator="equal">
      <formula>"1 semana"</formula>
    </cfRule>
    <cfRule type="cellIs" dxfId="30" priority="32" operator="equal">
      <formula>"48 horas"</formula>
    </cfRule>
    <cfRule type="cellIs" dxfId="29" priority="33" operator="equal">
      <formula>"24 horas"</formula>
    </cfRule>
    <cfRule type="cellIs" dxfId="28" priority="34" operator="equal">
      <formula>"4 horas"</formula>
    </cfRule>
  </conditionalFormatting>
  <conditionalFormatting sqref="Q28:U28">
    <cfRule type="cellIs" dxfId="27" priority="25" operator="equal">
      <formula>"2 semanas"</formula>
    </cfRule>
    <cfRule type="cellIs" dxfId="26" priority="26" operator="equal">
      <formula>"1 semana"</formula>
    </cfRule>
    <cfRule type="cellIs" dxfId="25" priority="27" operator="equal">
      <formula>"48 horas"</formula>
    </cfRule>
    <cfRule type="cellIs" dxfId="24" priority="28" operator="equal">
      <formula>"24 horas"</formula>
    </cfRule>
    <cfRule type="cellIs" dxfId="23" priority="29" operator="equal">
      <formula>"4 horas"</formula>
    </cfRule>
  </conditionalFormatting>
  <conditionalFormatting sqref="Q28:U28">
    <cfRule type="cellIs" dxfId="22" priority="18" operator="equal">
      <formula>"No Crítico"</formula>
    </cfRule>
    <cfRule type="cellIs" dxfId="21" priority="19" operator="equal">
      <formula>"2s"</formula>
    </cfRule>
    <cfRule type="cellIs" dxfId="20" priority="20" operator="equal">
      <formula>"1s"</formula>
    </cfRule>
    <cfRule type="cellIs" dxfId="19" priority="21" operator="equal">
      <formula>"48h"</formula>
    </cfRule>
    <cfRule type="cellIs" dxfId="18" priority="22" operator="equal">
      <formula>"24h"</formula>
    </cfRule>
    <cfRule type="cellIs" dxfId="17" priority="23" operator="equal">
      <formula>"4h"</formula>
    </cfRule>
  </conditionalFormatting>
  <conditionalFormatting sqref="V28:Z28">
    <cfRule type="cellIs" dxfId="16" priority="7" operator="equal">
      <formula>"No Crítico"</formula>
    </cfRule>
    <cfRule type="cellIs" dxfId="15" priority="13" operator="equal">
      <formula>"2 semanas"</formula>
    </cfRule>
    <cfRule type="cellIs" dxfId="14" priority="14" operator="equal">
      <formula>"1 semana"</formula>
    </cfRule>
    <cfRule type="cellIs" dxfId="13" priority="15" operator="equal">
      <formula>"48 horas"</formula>
    </cfRule>
    <cfRule type="cellIs" dxfId="12" priority="16" operator="equal">
      <formula>"24 horas"</formula>
    </cfRule>
    <cfRule type="cellIs" dxfId="11" priority="17" operator="equal">
      <formula>"4 horas"</formula>
    </cfRule>
  </conditionalFormatting>
  <conditionalFormatting sqref="V28:Z28">
    <cfRule type="cellIs" dxfId="10" priority="8" operator="equal">
      <formula>"2 semanas"</formula>
    </cfRule>
    <cfRule type="cellIs" dxfId="9" priority="9" operator="equal">
      <formula>"1 semana"</formula>
    </cfRule>
    <cfRule type="cellIs" dxfId="8" priority="10" operator="equal">
      <formula>"48 horas"</formula>
    </cfRule>
    <cfRule type="cellIs" dxfId="7" priority="11" operator="equal">
      <formula>"24 horas"</formula>
    </cfRule>
    <cfRule type="cellIs" dxfId="6" priority="12" operator="equal">
      <formula>"4 horas"</formula>
    </cfRule>
  </conditionalFormatting>
  <conditionalFormatting sqref="V28:Z28">
    <cfRule type="cellIs" dxfId="5" priority="1" operator="equal">
      <formula>"No Crítico"</formula>
    </cfRule>
    <cfRule type="cellIs" dxfId="4" priority="2" operator="equal">
      <formula>"2s"</formula>
    </cfRule>
    <cfRule type="cellIs" dxfId="3" priority="3" operator="equal">
      <formula>"1s"</formula>
    </cfRule>
    <cfRule type="cellIs" dxfId="2" priority="4" operator="equal">
      <formula>"48h"</formula>
    </cfRule>
    <cfRule type="cellIs" dxfId="1" priority="5" operator="equal">
      <formula>"24h"</formula>
    </cfRule>
    <cfRule type="cellIs" dxfId="0" priority="6" operator="equal">
      <formula>"4h"</formula>
    </cfRule>
  </conditionalFormatting>
  <pageMargins left="0.7" right="0.7" top="0.75" bottom="0.75" header="0.3" footer="0.3"/>
  <pageSetup paperSize="9" scale="52"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D887E61D8E3FBC4183A9A7F3EAC2F964" ma:contentTypeVersion="0" ma:contentTypeDescription="Crear nuevo documento." ma:contentTypeScope="" ma:versionID="3969b3bcb661d8bc17cd19764e52106f">
  <xsd:schema xmlns:xsd="http://www.w3.org/2001/XMLSchema" xmlns:p="http://schemas.microsoft.com/office/2006/metadata/properties" targetNamespace="http://schemas.microsoft.com/office/2006/metadata/properties" ma:root="true" ma:fieldsID="c5771665b81ff11122397a2267100e8a">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Tipo de contenido" ma:readOnly="true"/>
        <xsd:element ref="dc:title" minOccurs="0" maxOccurs="1" ma:index="0"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9FB162A-8906-4599-B096-6217A77F8619}">
  <ds:schemaRefs>
    <ds:schemaRef ds:uri="http://schemas.microsoft.com/sharepoint/v3/contenttype/forms"/>
  </ds:schemaRefs>
</ds:datastoreItem>
</file>

<file path=customXml/itemProps2.xml><?xml version="1.0" encoding="utf-8"?>
<ds:datastoreItem xmlns:ds="http://schemas.openxmlformats.org/officeDocument/2006/customXml" ds:itemID="{8CF7ACF3-2E72-4D4D-81B9-5A60356C26A9}">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5BB546B-1102-4580-8906-6EA391EAF9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7</vt:i4>
      </vt:variant>
    </vt:vector>
  </HeadingPairs>
  <TitlesOfParts>
    <vt:vector size="11" baseType="lpstr">
      <vt:lpstr>Portada</vt:lpstr>
      <vt:lpstr>Call Tree HRE</vt:lpstr>
      <vt:lpstr>Seguimiento CalltTree</vt:lpstr>
      <vt:lpstr>Resumen por Ubicación</vt:lpstr>
      <vt:lpstr>'Call Tree HRE'!Área_de_impresión</vt:lpstr>
      <vt:lpstr>Portada!Área_de_impresión</vt:lpstr>
      <vt:lpstr>CRITICIDAD</vt:lpstr>
      <vt:lpstr>EQUIPOS</vt:lpstr>
      <vt:lpstr>EquiposSeguimiento</vt:lpstr>
      <vt:lpstr>LOCALIZADOS</vt:lpstr>
      <vt:lpstr>PROVINCIAS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Sergio Palacios</dc:creator>
  <cp:keywords/>
  <dc:description/>
  <cp:lastModifiedBy>Federico Segura</cp:lastModifiedBy>
  <cp:revision/>
  <cp:lastPrinted>2019-11-18T12:32:17Z</cp:lastPrinted>
  <dcterms:created xsi:type="dcterms:W3CDTF">2018-02-28T12:52:45Z</dcterms:created>
  <dcterms:modified xsi:type="dcterms:W3CDTF">2020-03-13T13:42:04Z</dcterms:modified>
  <cp:category/>
  <cp:contentStatus/>
</cp:coreProperties>
</file>